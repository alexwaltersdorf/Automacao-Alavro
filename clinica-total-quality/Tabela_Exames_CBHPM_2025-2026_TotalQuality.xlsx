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ametros" sheetId="1" state="visible" r:id="rId3"/>
    <sheet name="Tabela de Precos" sheetId="2" state="visible" r:id="rId4"/>
    <sheet name="Pesquisa de Mercado" sheetId="3" state="visible" r:id="rId5"/>
    <sheet name="Leia-m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<sst xmlns="http://schemas.openxmlformats.org/spreadsheetml/2006/main" count="507" uniqueCount="343">
  <si>
    <t xml:space="preserve">PARÂMETROS — CBHPM 2025/2026</t>
  </si>
  <si>
    <t xml:space="preserve">Valor da UCO (R$)</t>
  </si>
  <si>
    <t xml:space="preserve">Faixa de negociação</t>
  </si>
  <si>
    <t xml:space="preserve">ORIGINAL</t>
  </si>
  <si>
    <t xml:space="preserve">Valores de porte — Comunicado Oficial CBHPM/AMB 18/10/2025 (INPC 5,10%) — vigência out/2025 a set/2026</t>
  </si>
  <si>
    <t xml:space="preserve">Porte</t>
  </si>
  <si>
    <t xml:space="preserve">FAIXA I</t>
  </si>
  <si>
    <t xml:space="preserve">FAIXA II</t>
  </si>
  <si>
    <t xml:space="preserve">FAIXA III</t>
  </si>
  <si>
    <t xml:space="preserve">1A</t>
  </si>
  <si>
    <t xml:space="preserve">1B</t>
  </si>
  <si>
    <t xml:space="preserve">1C</t>
  </si>
  <si>
    <t xml:space="preserve">2A</t>
  </si>
  <si>
    <t xml:space="preserve">2B</t>
  </si>
  <si>
    <t xml:space="preserve">2C</t>
  </si>
  <si>
    <t xml:space="preserve">3A</t>
  </si>
  <si>
    <t xml:space="preserve">3B</t>
  </si>
  <si>
    <t xml:space="preserve">3C</t>
  </si>
  <si>
    <t xml:space="preserve">4A</t>
  </si>
  <si>
    <t xml:space="preserve">4B</t>
  </si>
  <si>
    <t xml:space="preserve">4C</t>
  </si>
  <si>
    <t xml:space="preserve">5A</t>
  </si>
  <si>
    <t xml:space="preserve">5B</t>
  </si>
  <si>
    <t xml:space="preserve">5C</t>
  </si>
  <si>
    <t xml:space="preserve">6A</t>
  </si>
  <si>
    <t xml:space="preserve">6B</t>
  </si>
  <si>
    <t xml:space="preserve">6C</t>
  </si>
  <si>
    <t xml:space="preserve">7A</t>
  </si>
  <si>
    <t xml:space="preserve">7B</t>
  </si>
  <si>
    <t xml:space="preserve">7C</t>
  </si>
  <si>
    <t xml:space="preserve">8A</t>
  </si>
  <si>
    <t xml:space="preserve">8B</t>
  </si>
  <si>
    <t xml:space="preserve">8C</t>
  </si>
  <si>
    <t xml:space="preserve">9A</t>
  </si>
  <si>
    <t xml:space="preserve">9B</t>
  </si>
  <si>
    <t xml:space="preserve">9C</t>
  </si>
  <si>
    <t xml:space="preserve">10A</t>
  </si>
  <si>
    <t xml:space="preserve">10B</t>
  </si>
  <si>
    <t xml:space="preserve">10C</t>
  </si>
  <si>
    <t xml:space="preserve">11A</t>
  </si>
  <si>
    <t xml:space="preserve">11B</t>
  </si>
  <si>
    <t xml:space="preserve">11C</t>
  </si>
  <si>
    <t xml:space="preserve">12A</t>
  </si>
  <si>
    <t xml:space="preserve">12B</t>
  </si>
  <si>
    <t xml:space="preserve">12C</t>
  </si>
  <si>
    <t xml:space="preserve">13A</t>
  </si>
  <si>
    <t xml:space="preserve">13B</t>
  </si>
  <si>
    <t xml:space="preserve">13C</t>
  </si>
  <si>
    <t xml:space="preserve">14A</t>
  </si>
  <si>
    <t xml:space="preserve">14B</t>
  </si>
  <si>
    <t xml:space="preserve">14C</t>
  </si>
  <si>
    <t xml:space="preserve">TOTAL QUALITY MEDICINA DIAGNÓSTICA — TABELA DE EXAMES · PARTICULAR × REFERENCIAL CBHPM</t>
  </si>
  <si>
    <t xml:space="preserve">Preço particular calibrado pelo mercado (âncoras da clínica em VERDE) · Referencial CBHPM 2018 + portes AMB 2025/2026 · UCO = R$ 29,80</t>
  </si>
  <si>
    <t xml:space="preserve">Preços particulares em AZUL são sugestões editáveis. Colunas CBHPM recalculam pela aba "Parametros".</t>
  </si>
  <si>
    <t xml:space="preserve">TOMOGRAFIA COMPUTADORIZADA MULTISLICE</t>
  </si>
  <si>
    <t xml:space="preserve">Código CBHPM</t>
  </si>
  <si>
    <t xml:space="preserve">Exame</t>
  </si>
  <si>
    <t xml:space="preserve">PREÇO PARTICULAR (R$)</t>
  </si>
  <si>
    <t xml:space="preserve">% do CBHPM</t>
  </si>
  <si>
    <t xml:space="preserve">Valor Porte (R$)</t>
  </si>
  <si>
    <t xml:space="preserve">Custo Oper. (UCO)</t>
  </si>
  <si>
    <t xml:space="preserve">Custo Oper. (R$)</t>
  </si>
  <si>
    <t xml:space="preserve">TOTAL CBHPM (R$)</t>
  </si>
  <si>
    <t xml:space="preserve">Observações</t>
  </si>
  <si>
    <t xml:space="preserve">4.10.01.01-0</t>
  </si>
  <si>
    <t xml:space="preserve">TC - Crânio ou sela túrcica ou órbitas</t>
  </si>
  <si>
    <t xml:space="preserve">Preço definido pela clínica (âncora).</t>
  </si>
  <si>
    <t xml:space="preserve">4.10.01.03-6</t>
  </si>
  <si>
    <t xml:space="preserve">TC - Face ou seios da face</t>
  </si>
  <si>
    <t xml:space="preserve">Com contraste: + reembolso do contraste à parte</t>
  </si>
  <si>
    <t xml:space="preserve">4.10.01.06-0</t>
  </si>
  <si>
    <t xml:space="preserve">TC - Pescoço (partes moles, laringe, tireoide, faringe e glândulas salivares)</t>
  </si>
  <si>
    <t xml:space="preserve">4.10.01.07-9</t>
  </si>
  <si>
    <t xml:space="preserve">TC - Tórax</t>
  </si>
  <si>
    <t xml:space="preserve">4.10.01.10-9</t>
  </si>
  <si>
    <t xml:space="preserve">TC - Abdome superior</t>
  </si>
  <si>
    <t xml:space="preserve">4.10.01.09-5</t>
  </si>
  <si>
    <t xml:space="preserve">TC - Abdome total (abdome superior, pelve e retroperitônio)</t>
  </si>
  <si>
    <t xml:space="preserve">4.10.01.11-7</t>
  </si>
  <si>
    <t xml:space="preserve">TC - Pelve ou bacia</t>
  </si>
  <si>
    <t xml:space="preserve">4.10.01.12-5</t>
  </si>
  <si>
    <t xml:space="preserve">TC - Coluna cervical (código único: cervical ou dorsal ou lombo-sacra até 3 segmentos)</t>
  </si>
  <si>
    <t xml:space="preserve">Código único p/ cervical, dorsal ou lombo-sacra (até 3 segmentos)</t>
  </si>
  <si>
    <t xml:space="preserve">TC - Coluna dorsal (código único: cervical ou dorsal ou lombo-sacra até 3 segmentos)</t>
  </si>
  <si>
    <t xml:space="preserve">TC - Coluna lombo-sacra (código único: cervical ou dorsal ou lombo-sacra até 3 segmentos)</t>
  </si>
  <si>
    <t xml:space="preserve">4.10.01.13-3</t>
  </si>
  <si>
    <t xml:space="preserve">TC - Coluna - segmento adicional</t>
  </si>
  <si>
    <t xml:space="preserve">Cobrar por segmento adicional de coluna</t>
  </si>
  <si>
    <t xml:space="preserve">4.10.01.14-1</t>
  </si>
  <si>
    <t xml:space="preserve">TC - Articulação (esternoclavicular ou ombro ou cotovelo ou punho ou sacroilíacas ou coxofemoral ou joelho ou tornozelo) - unilateral</t>
  </si>
  <si>
    <t xml:space="preserve">4.10.01.15-0</t>
  </si>
  <si>
    <t xml:space="preserve">TC - Segmento apendicular (braço ou antebraço ou mão ou coxa ou perna ou pé) - unilateral</t>
  </si>
  <si>
    <t xml:space="preserve">Contraste em TC: reembolsado à parte (obs. 4.10.99.00-1) — sem % fixo no porte. TC 'com contraste' = mesmo código + custo do contraste.</t>
  </si>
  <si>
    <t xml:space="preserve">RAIO-X DIGITAL</t>
  </si>
  <si>
    <t xml:space="preserve">4.08.05.01-8</t>
  </si>
  <si>
    <t xml:space="preserve">RX - Tórax - 1 incidência</t>
  </si>
  <si>
    <t xml:space="preserve">4.08.05.02-6</t>
  </si>
  <si>
    <t xml:space="preserve">RX - Tórax - 2 incidências</t>
  </si>
  <si>
    <t xml:space="preserve">4.08.02.01-9</t>
  </si>
  <si>
    <t xml:space="preserve">RX - Coluna cervical - 3 incidências</t>
  </si>
  <si>
    <t xml:space="preserve">4.08.02.03-5</t>
  </si>
  <si>
    <t xml:space="preserve">RX - Coluna dorsal - 2 incidências</t>
  </si>
  <si>
    <t xml:space="preserve">4.08.02.05-1</t>
  </si>
  <si>
    <t xml:space="preserve">RX - Coluna lombo-sacra - 3 incidências</t>
  </si>
  <si>
    <t xml:space="preserve">4.08.01.01-2</t>
  </si>
  <si>
    <t xml:space="preserve">RX - Crânio - 2 incidências</t>
  </si>
  <si>
    <t xml:space="preserve">4.08.01.06-3</t>
  </si>
  <si>
    <t xml:space="preserve">RX - Seios da face</t>
  </si>
  <si>
    <t xml:space="preserve">4.08.03.12-0</t>
  </si>
  <si>
    <t xml:space="preserve">RX - Mão ou quirodáctilo</t>
  </si>
  <si>
    <t xml:space="preserve">4.08.03.11-2</t>
  </si>
  <si>
    <t xml:space="preserve">RX - Punho</t>
  </si>
  <si>
    <t xml:space="preserve">4.08.04.05-4</t>
  </si>
  <si>
    <t xml:space="preserve">RX - Joelho</t>
  </si>
  <si>
    <t xml:space="preserve">4.08.03.07-4</t>
  </si>
  <si>
    <t xml:space="preserve">RX - Articulação escapuloumeral (ombro)</t>
  </si>
  <si>
    <t xml:space="preserve">4.08.04.03-8</t>
  </si>
  <si>
    <t xml:space="preserve">RX - Articulação coxofemoral (quadril)</t>
  </si>
  <si>
    <t xml:space="preserve">4.08.04.01-1</t>
  </si>
  <si>
    <t xml:space="preserve">RX - Bacia</t>
  </si>
  <si>
    <t xml:space="preserve">4.08.04.09-7</t>
  </si>
  <si>
    <t xml:space="preserve">RX - Pé ou pododáctilo</t>
  </si>
  <si>
    <t xml:space="preserve">4.08.08.01-7</t>
  </si>
  <si>
    <t xml:space="preserve">RX - Abdome simples</t>
  </si>
  <si>
    <t xml:space="preserve">4.08.03.13-9</t>
  </si>
  <si>
    <t xml:space="preserve">RX - Mãos e punhos para idade óssea</t>
  </si>
  <si>
    <t xml:space="preserve">MAMOGRAFIA DIGITAL</t>
  </si>
  <si>
    <t xml:space="preserve">4.08.08.03-3</t>
  </si>
  <si>
    <t xml:space="preserve">Mamografia convencional bilateral</t>
  </si>
  <si>
    <t xml:space="preserve">4.08.08.04-1</t>
  </si>
  <si>
    <t xml:space="preserve">Mamografia digital bilateral</t>
  </si>
  <si>
    <t xml:space="preserve">Código próprio de mamografia digital</t>
  </si>
  <si>
    <t xml:space="preserve">ULTRASSONOGRAFIA GERAL E DOPPLER</t>
  </si>
  <si>
    <t xml:space="preserve">4.09.01.12-2</t>
  </si>
  <si>
    <t xml:space="preserve">US - Abdome total (abdome superior, rins, bexiga, aorta, veia cava inferior e adrenais)</t>
  </si>
  <si>
    <t xml:space="preserve">4.09.01.13-0</t>
  </si>
  <si>
    <t xml:space="preserve">US - Abdome superior (fígado, vias biliares, vesícula, pâncreas e baço)</t>
  </si>
  <si>
    <t xml:space="preserve">4.09.01.76-9</t>
  </si>
  <si>
    <t xml:space="preserve">US - Aparelho urinário (rins, ureteres e bexiga)</t>
  </si>
  <si>
    <t xml:space="preserve">4.09.01.20-3</t>
  </si>
  <si>
    <t xml:space="preserve">US - Órgãos superficiais (tireoide ou escroto ou pênis ou crânio)</t>
  </si>
  <si>
    <t xml:space="preserve">Usar p/ tireoide (órgãos superficiais)</t>
  </si>
  <si>
    <t xml:space="preserve">4.09.01.11-4</t>
  </si>
  <si>
    <t xml:space="preserve">US - Mamas</t>
  </si>
  <si>
    <t xml:space="preserve">4.09.01.23-8</t>
  </si>
  <si>
    <t xml:space="preserve">US - Obstétrica</t>
  </si>
  <si>
    <t xml:space="preserve">4.09.01.24-6</t>
  </si>
  <si>
    <t xml:space="preserve">US - Obstétrica com Doppler colorido</t>
  </si>
  <si>
    <t xml:space="preserve">4.09.01.30-0</t>
  </si>
  <si>
    <t xml:space="preserve">US - Transvaginal (útero, ovário, anexos e vagina)</t>
  </si>
  <si>
    <t xml:space="preserve">4.09.01.18-1</t>
  </si>
  <si>
    <t xml:space="preserve">US - Abdome inferior feminino / pélvica suprapúbica (bexiga, útero, ovário e anexos)</t>
  </si>
  <si>
    <t xml:space="preserve">4.09.01.75-0</t>
  </si>
  <si>
    <t xml:space="preserve">US - Próstata (via abdominal)</t>
  </si>
  <si>
    <t xml:space="preserve">4.09.01.33-5</t>
  </si>
  <si>
    <t xml:space="preserve">US - Próstata transretal (não inclui abdome inferior masculino)</t>
  </si>
  <si>
    <t xml:space="preserve">4.09.01.22-0</t>
  </si>
  <si>
    <t xml:space="preserve">US - Articular (por articulação)</t>
  </si>
  <si>
    <t xml:space="preserve">4.09.01.21-1</t>
  </si>
  <si>
    <t xml:space="preserve">US - Estruturas superficiais / partes moles (cervical ou axila ou músculo ou tendão)</t>
  </si>
  <si>
    <t xml:space="preserve">4.09.01.36-0</t>
  </si>
  <si>
    <t xml:space="preserve">Doppler colorido de vasos cervicais arteriais bilateral (carótidas e vertebrais)</t>
  </si>
  <si>
    <t xml:space="preserve">4.09.01.48-3</t>
  </si>
  <si>
    <t xml:space="preserve">Doppler colorido venoso de membro inferior - unilateral</t>
  </si>
  <si>
    <t xml:space="preserve">4.09.01.47-5</t>
  </si>
  <si>
    <t xml:space="preserve">Doppler colorido arterial de membro inferior - unilateral</t>
  </si>
  <si>
    <t xml:space="preserve">4.09.01.40-8</t>
  </si>
  <si>
    <t xml:space="preserve">Doppler colorido de aorta e ilíacas</t>
  </si>
  <si>
    <t xml:space="preserve">US - Tireoide com Doppler colorido</t>
  </si>
  <si>
    <t xml:space="preserve">Preço definido pela clínica (âncora). Sem código extraído da CBHPM 2018 — usar código de Doppler colorido de órgão/estrutura conforme tabela contratada</t>
  </si>
  <si>
    <t xml:space="preserve">MÉTODOS FUNCIONAIS (MAPA · HOLTER · ECG · EEG · ESPIROMETRIA)</t>
  </si>
  <si>
    <t xml:space="preserve">2.01.02.03-8</t>
  </si>
  <si>
    <t xml:space="preserve">Monitorização ambulatorial da pressão arterial - MAPA (24 horas)</t>
  </si>
  <si>
    <t xml:space="preserve">2.01.02.02-0</t>
  </si>
  <si>
    <t xml:space="preserve">Holter de 24 horas - 3 canais - digital</t>
  </si>
  <si>
    <t xml:space="preserve">2.01.02.01-1</t>
  </si>
  <si>
    <t xml:space="preserve">Holter de 24 horas - 2 ou mais canais - analógico</t>
  </si>
  <si>
    <t xml:space="preserve">4.01.01.01-0</t>
  </si>
  <si>
    <t xml:space="preserve">ECG convencional de até 12 derivações</t>
  </si>
  <si>
    <t xml:space="preserve">4.01.03.17-0</t>
  </si>
  <si>
    <t xml:space="preserve">EEG de rotina</t>
  </si>
  <si>
    <t xml:space="preserve">EEG simples; fotoestimulação/hiperventilação inclusas na rotina</t>
  </si>
  <si>
    <t xml:space="preserve">4.01.03.23-4</t>
  </si>
  <si>
    <t xml:space="preserve">Eletroencefalograma em vigília, e sono espontâneo ou induzido (inclui análise quantitativa/EEG Quantitativo - mapeamento)</t>
  </si>
  <si>
    <t xml:space="preserve">EEG com mapeamento cerebral (análise quantitativa)</t>
  </si>
  <si>
    <t xml:space="preserve">4.01.05.07-5</t>
  </si>
  <si>
    <t xml:space="preserve">Prova de função pulmonar completa (ou espirometria)</t>
  </si>
  <si>
    <t xml:space="preserve">4.01.01.06-1</t>
  </si>
  <si>
    <t xml:space="preserve">Ergoespirometria ou teste cardiopulmonar de exercício completo (espirometria forçada, consumo de O2, produção de CO2, ECG, oximetria)</t>
  </si>
  <si>
    <t xml:space="preserve">Preço particular a definir pela clínica (exame de alta complexidade)</t>
  </si>
  <si>
    <t xml:space="preserve">EEG com fotoestimulação (item do menu da clínica)</t>
  </si>
  <si>
    <t xml:space="preserve">Na CBHPM a fotoestimulação está inclusa na rotina (4.01.03.17-0); preço diferenciado apenas no menu particular</t>
  </si>
  <si>
    <t xml:space="preserve">EXAMES LABORATORIAIS (25 mais comuns — catálogo completo sob consulta)</t>
  </si>
  <si>
    <t xml:space="preserve">4.03.04.36-1</t>
  </si>
  <si>
    <t xml:space="preserve">Hemograma com contagem de plaquetas ou frações (eritrograma, leucograma, plaquetas)</t>
  </si>
  <si>
    <t xml:space="preserve">0,01 de 1A</t>
  </si>
  <si>
    <t xml:space="preserve">4.03.02.04-0</t>
  </si>
  <si>
    <t xml:space="preserve">Glicose</t>
  </si>
  <si>
    <t xml:space="preserve">4.03.02.73-3</t>
  </si>
  <si>
    <t xml:space="preserve">Hemoglobina glicada (Fração A1c), dosagem</t>
  </si>
  <si>
    <t xml:space="preserve">0,10 de 1A</t>
  </si>
  <si>
    <t xml:space="preserve">4.03.01.60-5</t>
  </si>
  <si>
    <t xml:space="preserve">Colesterol total, dosagem</t>
  </si>
  <si>
    <t xml:space="preserve">4.03.01.58-3</t>
  </si>
  <si>
    <t xml:space="preserve">Colesterol (HDL), dosagem</t>
  </si>
  <si>
    <t xml:space="preserve">4.03.01.59-1</t>
  </si>
  <si>
    <t xml:space="preserve">Colesterol (LDL), dosagem</t>
  </si>
  <si>
    <t xml:space="preserve">4.03.02.75-0</t>
  </si>
  <si>
    <t xml:space="preserve">Perfil lipídico / lipidograma (lipídios totais, colesterol, triglicerídios e frações)</t>
  </si>
  <si>
    <t xml:space="preserve">4.03.02.54-7</t>
  </si>
  <si>
    <t xml:space="preserve">Triglicerídeos, dosagem</t>
  </si>
  <si>
    <t xml:space="preserve">4.03.02.50-4</t>
  </si>
  <si>
    <t xml:space="preserve">Transaminase oxalacética/TGO (amino transferase aspartato - AST), dosagem</t>
  </si>
  <si>
    <t xml:space="preserve">4.03.02.51-2</t>
  </si>
  <si>
    <t xml:space="preserve">Transaminase pirúvica/TGP (amino transferase de alanina - ALT), dosagem</t>
  </si>
  <si>
    <t xml:space="preserve">4.03.02.58-0</t>
  </si>
  <si>
    <t xml:space="preserve">Ureia, dosagem</t>
  </si>
  <si>
    <t xml:space="preserve">4.03.01.63-0</t>
  </si>
  <si>
    <t xml:space="preserve">Creatinina, dosagem</t>
  </si>
  <si>
    <t xml:space="preserve">4.03.01.15-0</t>
  </si>
  <si>
    <t xml:space="preserve">Ácido úrico, dosagem</t>
  </si>
  <si>
    <t xml:space="preserve">4.03.16.52-1</t>
  </si>
  <si>
    <t xml:space="preserve">Tireoestimulante, hormônio (TSH), dosagem</t>
  </si>
  <si>
    <t xml:space="preserve">4.03.16.49-1</t>
  </si>
  <si>
    <t xml:space="preserve">T4 livre, dosagem</t>
  </si>
  <si>
    <t xml:space="preserve">4.03.16.14-9</t>
  </si>
  <si>
    <t xml:space="preserve">Antígeno específico prostático total (PSA), dosagem</t>
  </si>
  <si>
    <t xml:space="preserve">0,04 de 1A</t>
  </si>
  <si>
    <t xml:space="preserve">4.03.11.21-0</t>
  </si>
  <si>
    <t xml:space="preserve">Rotina de urina / EAS (caracteres físicos, elementos anormais e sedimentoscopia)</t>
  </si>
  <si>
    <t xml:space="preserve">4.03.10.21-3</t>
  </si>
  <si>
    <t xml:space="preserve">Cultura, urina com contagem de colônias (urocultura)</t>
  </si>
  <si>
    <t xml:space="preserve">Sugestão de pacote urocultura + antibiograma: R$ 55</t>
  </si>
  <si>
    <t xml:space="preserve">4.03.10.41-8</t>
  </si>
  <si>
    <t xml:space="preserve">Antibiograma (teste de sensibilidade a antibióticos e quimioterápicos)</t>
  </si>
  <si>
    <t xml:space="preserve">4.03.03.11-0</t>
  </si>
  <si>
    <t xml:space="preserve">Parasitológico nas fezes</t>
  </si>
  <si>
    <t xml:space="preserve">4.03.05.75-9</t>
  </si>
  <si>
    <t xml:space="preserve">Hormônio gonadotrófico coriônico qualitativo (HCG-Beta-HCG), pesquisa</t>
  </si>
  <si>
    <t xml:space="preserve">4.03.05.76-7</t>
  </si>
  <si>
    <t xml:space="preserve">Hormônio gonadotrófico coriônico quantitativo (Beta-HCG), dosagem</t>
  </si>
  <si>
    <t xml:space="preserve">4.03.07.76-0</t>
  </si>
  <si>
    <t xml:space="preserve">Sífilis - VDRL</t>
  </si>
  <si>
    <t xml:space="preserve">4.03.07.17-4</t>
  </si>
  <si>
    <t xml:space="preserve">HIV1 ou HIV2, pesquisa de anticorpos (anti-HIV)</t>
  </si>
  <si>
    <t xml:space="preserve">4.03.16.27-0</t>
  </si>
  <si>
    <t xml:space="preserve">Ferritina, dosagem</t>
  </si>
  <si>
    <t xml:space="preserve">4.03.02.83-0</t>
  </si>
  <si>
    <t xml:space="preserve">Vitamina "D" 25 hidróxi (vitamina D3), dosagem</t>
  </si>
  <si>
    <t xml:space="preserve">4.03.16.57-2</t>
  </si>
  <si>
    <t xml:space="preserve">Vitamina B12, dosagem</t>
  </si>
  <si>
    <t xml:space="preserve">4.03.04.59-0</t>
  </si>
  <si>
    <t xml:space="preserve">Tempo de protrombina (TAP/INR), determinação</t>
  </si>
  <si>
    <t xml:space="preserve">TOXICOLÓGICO</t>
  </si>
  <si>
    <t xml:space="preserve">Toxicológico de larga janela - CNH/CLT (painel multidrogas em cabelo)</t>
  </si>
  <si>
    <t xml:space="preserve">Sem código CBHPM — preço 100% de mercado (faixa nacional R$ 110-250)</t>
  </si>
  <si>
    <t xml:space="preserve">PESQUISA DE PREÇOS PARTICULARES — clínicas/labs populares BR + Vale do Paraíba (verificada em 31/07/2026)</t>
  </si>
  <si>
    <t xml:space="preserve">Faixa mín (R$)</t>
  </si>
  <si>
    <t xml:space="preserve">Faixa máx (R$)</t>
  </si>
  <si>
    <t xml:space="preserve">Valor típico (R$)</t>
  </si>
  <si>
    <t xml:space="preserve">Fontes</t>
  </si>
  <si>
    <t xml:space="preserve">https://tabelaplanos.com.br/mamografia-preco-popular/ | https://www.bhcentrodiagnostico.com/ (R$110) | https://eigierdiagnosticos.com.br/blog/quando-custa-exame-mamografia-particular/</t>
  </si>
  <si>
    <t xml:space="preserve">MAPA 24h</t>
  </si>
  <si>
    <t xml:space="preserve">https://doctorsaude.com.br/mapa-24h (a partir R$80) | https://www.bhcentrodiagnostico.com/mapa24hembh (R$100-120)</t>
  </si>
  <si>
    <t xml:space="preserve">Holter 24h</t>
  </si>
  <si>
    <t xml:space="preserve">https://www.bhcentrodiagnostico.com/holter24horasembh (R$100-120) | https://www.clinicasim.com/exames/holter/</t>
  </si>
  <si>
    <t xml:space="preserve">ECG (eletrocardiograma de repouso)</t>
  </si>
  <si>
    <t xml:space="preserve">https://www.bhcentrodiagnostico.com/eletrocardiograma-em-bh (R$40-50) | https://tabelaplanos.com.br/preco-ecocardiograma-2025/ (ECG R$55) | https://www.clinicapopulardasaude.com.br/eletrocardiograma</t>
  </si>
  <si>
    <t xml:space="preserve">EEG simples</t>
  </si>
  <si>
    <t xml:space="preserve">https://www.bhcentrodiagnostico.com/eletroencefalogramaembh (R$100) | https://casadamente.com.br/eeg (a partir R$197)</t>
  </si>
  <si>
    <t xml:space="preserve">EEG com mapeamento cerebral</t>
  </si>
  <si>
    <t xml:space="preserve">https://www.doctoralia.com.br/perguntas-respostas/qual-o-valor-medio-de-um-eletroencefalograma (~R$350) | https://www.cdb.com.br/exame/sao-paulo-sp/mapeamento-cerebral-com-eletroencefalograma-15573</t>
  </si>
  <si>
    <t xml:space="preserve">Espirometria (prova de funcao pulmonar)</t>
  </si>
  <si>
    <t xml:space="preserve">https://www.bhcentrodiagnostico.com/espirometriaembh (R$100-120) | https://drramiro.com.br/espirometria-ou-prova-de-funcao-pulmonar/ (SJC R$200)</t>
  </si>
  <si>
    <t xml:space="preserve">Toxicologico de larga janela (CNH/CLT)</t>
  </si>
  <si>
    <t xml:space="preserve">https://www.hermespardini.com.br/lojavirtual/exame-toxicologico (R$120-165) | https://99app.com/blog/motorista/qual-o-valor-do-exame-toxicologico-existe-gratuito-confira/</t>
  </si>
  <si>
    <t xml:space="preserve">Hemograma completo</t>
  </si>
  <si>
    <t xml:space="preserve">https://labiexames.com.br/exames/hemograma (R$15) | https://www.atendja.com.br/blog/exames-mais-comuns-e-seus-precos/ (Pardini R$27) | https://www.clinicaconsulta.com.br/exames-de-sangue-mais-pedidos-e-seus-precos-em-2025 (R$25-80)</t>
  </si>
  <si>
    <t xml:space="preserve">Glicemia de jejum</t>
  </si>
  <si>
    <t xml:space="preserve">https://labiexames.com.br/exames/glicose (R$11) | https://www.atendja.com.br/blog/exames-mais-comuns-e-seus-precos/ (R$23) | https://www.clinicaconsulta.com.br/exames-de-sangue-mais-pedidos-e-seus-precos-em-2025 (R$15-50)</t>
  </si>
  <si>
    <t xml:space="preserve">Hemoglobina glicada (HbA1c)</t>
  </si>
  <si>
    <t xml:space="preserve">https://labiexames.com.br/exames/hemoglobina-glicada-fracao-a1c (R$23) | https://www.atendja.com.br/blog/exames-mais-comuns-e-seus-precos/ (R$33)</t>
  </si>
  <si>
    <t xml:space="preserve">Perfil lipidico completo</t>
  </si>
  <si>
    <t xml:space="preserve">https://labiexames.com.br/exames/colesterol-total-e-fracoes (R$46) | https://www.clinicaconsulta.com.br/exames-de-sangue-mais-pedidos-e-seus-precos-em-2025 (colesterol+fracoes R$20-60)</t>
  </si>
  <si>
    <t xml:space="preserve">TSH</t>
  </si>
  <si>
    <t xml:space="preserve">https://labiexames.com.br/exames (TSH R$29) | https://www.atendja.com.br/blog/exames-mais-comuns-e-seus-precos/ (Pardini R$45) | https://www.clinicaconsulta.com.br/exames-de-sangue-mais-pedidos-e-seus-precos-em-2025 (R$40-120)</t>
  </si>
  <si>
    <t xml:space="preserve">T4 livre</t>
  </si>
  <si>
    <t xml:space="preserve">https://labiexames.com.br/check-ups/check-up-fitness-premium-homem (T4 livre R$29) | https://www.atendja.com.br/blog/exames-mais-comuns-e-seus-precos/ (TSH+T4L R$30-50)</t>
  </si>
  <si>
    <t xml:space="preserve">PSA total</t>
  </si>
  <si>
    <t xml:space="preserve">https://labiexames.com.br/exames/psa-total (R$30)</t>
  </si>
  <si>
    <t xml:space="preserve">EAS (urina tipo 1)</t>
  </si>
  <si>
    <t xml:space="preserve">https://labiexames.com.br/exames/urina-tipo-1 (R$15) | https://www.atendja.com.br/blog/exames-mais-comuns-e-seus-precos/ (R$8-40)</t>
  </si>
  <si>
    <t xml:space="preserve">Urocultura + antibiograma</t>
  </si>
  <si>
    <t xml:space="preserve">https://labiexames.com.br/exames/urocultura (R$44)</t>
  </si>
  <si>
    <t xml:space="preserve">Parasitologico de fezes (1 amostra)</t>
  </si>
  <si>
    <t xml:space="preserve">https://labiexames.com.br/exames/parasitologico-de-fezes (R$22</t>
  </si>
  <si>
    <t xml:space="preserve">Beta-hCG quantitativo</t>
  </si>
  <si>
    <t xml:space="preserve">https://labiexames.com.br/testes/hcg-gonadotrofina-corionica-beta-soro (R$39)</t>
  </si>
  <si>
    <t xml:space="preserve">VDRL</t>
  </si>
  <si>
    <t xml:space="preserve">https://labiexames.com.br/exames/vdrl-quantitativo (R$16,20 via saudepraja.com.br) | https://lavoisier.com.br/exames/vdrl/</t>
  </si>
  <si>
    <t xml:space="preserve">Anti-HIV (sorologia HIV 1 e 2)</t>
  </si>
  <si>
    <t xml:space="preserve">https://labiexames.com.br/testes/sorologia-para-hiv-1-e-2 (R$62) | https://lavoisier.com.br/exames/anti-hiv/ (R$65,90) | https://alvaro.com.br/exames/anti-hiv/ (R$72)</t>
  </si>
  <si>
    <t xml:space="preserve">Ferritina</t>
  </si>
  <si>
    <t xml:space="preserve">https://labiexames.com.br/exames/ferritina (R$42) | https://www.atendja.com.br/blog/exames-mais-comuns-e-seus-precos/ (Pardini R$68)</t>
  </si>
  <si>
    <t xml:space="preserve">Vitamina D (25-OH)</t>
  </si>
  <si>
    <t xml:space="preserve">https://labiexames.com.br/exames (R$85) | https://www.atendja.com.br/blog/exames-mais-comuns-e-seus-precos/ (Pardini R$137) | https://www.clinicaconsulta.com.br/exames-de-sangue-mais-pedidos-e-seus-precos-em-2025 (R$70-200)</t>
  </si>
  <si>
    <t xml:space="preserve">Vitamina B12</t>
  </si>
  <si>
    <t xml:space="preserve">https://labiexames.com.br/exames/vitamina-b12-soro (R$38)</t>
  </si>
  <si>
    <t xml:space="preserve">TAP/INR (tempo de protrombina)</t>
  </si>
  <si>
    <t xml:space="preserve">https://labiexames.com.br/exames/tempo-atividade-protrombina (R$17</t>
  </si>
  <si>
    <t xml:space="preserve">Creatinina</t>
  </si>
  <si>
    <t xml:space="preserve">https://labiexames.com.br/exames/creatinina (R$11) | https://www.atendja.com.br/blog/exames-mais-comuns-e-seus-precos/ (Pardini R$31)</t>
  </si>
  <si>
    <t xml:space="preserve">Ureia</t>
  </si>
  <si>
    <t xml:space="preserve">https://www.atendja.com.br/blog/exames-mais-comuns-e-seus-precos/ (Pardini R$16)</t>
  </si>
  <si>
    <t xml:space="preserve">Acido urico</t>
  </si>
  <si>
    <t xml:space="preserve">https://labiexames.com.br/check-ups/check-up-fitness-premium-homem (R$13)</t>
  </si>
  <si>
    <t xml:space="preserve">TGO (AST)</t>
  </si>
  <si>
    <t xml:space="preserve">https://labiexames.com.br/exames (R$11) | https://www.atendja.com.br/blog/exames-mais-comuns-e-seus-precos/ (R$7-19)</t>
  </si>
  <si>
    <t xml:space="preserve">TGP (ALT)</t>
  </si>
  <si>
    <t xml:space="preserve">Colesterol total isolado</t>
  </si>
  <si>
    <t xml:space="preserve">https://labiexames.com.br/exames/colesterol-total (R$8) | https://www.atendja.com.br/blog/exames-mais-comuns-e-seus-precos/ (Pardini R$23)</t>
  </si>
  <si>
    <t xml:space="preserve">Triglicerideos</t>
  </si>
  <si>
    <t xml:space="preserve">https://labiexames.com.br/exames/triglicerides (R$15) | https://www.atendja.com.br/blog/exames-mais-comuns-e-seus-precos/ (R$7-20)</t>
  </si>
  <si>
    <t xml:space="preserve">LEIA-ME — TABELA DE EXAMES · PARTICULAR × CBHPM · TOTAL QUALITY MEDICINA DIAGNÓSTICA</t>
  </si>
  <si>
    <t xml:space="preserve">O que mudou nesta versão</t>
  </si>
  <si>
    <t xml:space="preserve">• Nova coluna PREÇO PARTICULAR (R$): calibrada pela realidade de mercado, não pelo referencial CBHPM. Células VERDES = preços definidos pela clínica (âncoras); demais em azul = sugestões editáveis derivadas das âncoras e da pesquisa de mercado (aba própria).</t>
  </si>
  <si>
    <t xml:space="preserve">• Coluna % do CBHPM mostra quanto o preço particular representa do referencial (TC ≈ 31-35%, US comum ≈ 37-62%, Doppler ≈ 29-32%, RX ≈ 102-126% — RX de mercado fica ACIMA da CBHPM, que é baixa nesse grupo).</t>
  </si>
  <si>
    <t xml:space="preserve">• O referencial CBHPM completo foi mantido (portes, UCO, total) — é a base para negociar CONVÊNIOS, não o preço de balcão.</t>
  </si>
  <si>
    <t xml:space="preserve">• Linhas novas do menu: US Tireoide com Doppler (R$ 250), EEG com fotoestimulação (R$ 250) e Toxicológico CNH/CLT (R$ 150).</t>
  </si>
  <si>
    <t xml:space="preserve">Regras de precificação aplicadas</t>
  </si>
  <si>
    <t xml:space="preserve">• TC: qualquer região R$ 300 · abdome total R$ 500 (âncoras) · segmento adicional de coluna R$ 150.</t>
  </si>
  <si>
    <t xml:space="preserve">• RX: R$ 80-120 conforme complexidade (âncoras: tórax 1 inc. R$ 80; coluna lombo-sacra R$ 120).</t>
  </si>
  <si>
    <t xml:space="preserve">• US: comum R$ 150 (âncoras: abdome total e mamas) · Doppler R$ 250 (âncoras: MMII venoso/arterial e tireoide) · próstata transretal R$ 200.</t>
  </si>
  <si>
    <t xml:space="preserve">• Mamografia digital R$ 150 · MAPA/Holter/Espirometria R$ 150 · ECG R$ 50 · EEG R$ 200/250/350 (simples/foto/mapeamento) — valores típicos da pesquisa de mercado.</t>
  </si>
  <si>
    <t xml:space="preserve">• Laboratório: valor típico de mercado arredondado (linha popular/intermediária; ver aba Pesquisa de Mercado).</t>
  </si>
  <si>
    <t xml:space="preserve">• Ergoespirometria: sem preço sugerido — a definir pela clínica.</t>
  </si>
  <si>
    <t xml:space="preserve">• CBHPM 2018 (códigos/portes/UCO): PDF do acervo no Google Drive. Portes 2025/2026 e UCO R$ 29,80: Comunicado Oficial CBHPM/AMB 18/10/2025.</t>
  </si>
  <si>
    <t xml:space="preserve">• Preços de mercado: pesquisa em clínicas/labs populares nacionais + Vale do Paraíba, 31/07/2026 (aba Pesquisa de Mercado, com URLs).</t>
  </si>
  <si>
    <t xml:space="preserve">Avisos</t>
  </si>
  <si>
    <t xml:space="preserve">• Preço particular é decisão comercial da clínica — os valores sugeridos são ponto de partida calibrado; revise margem/custo antes de publicar.</t>
  </si>
  <si>
    <t xml:space="preserve">• Convênios continuam pagando pelo CONTRATO (edição CBHPM + deságio + UCO contratual) — use as colunas CBHPM nas negociações.</t>
  </si>
  <si>
    <t xml:space="preserve">• TC com contraste: contraste reembolsado/cobrado à parte (sem % fixo). · Toxicológico e US Doppler de tireoide: sem código CBHPM 2018 direto.</t>
  </si>
  <si>
    <t xml:space="preserve">• Compliance CFM: tabela de preços não deve ser usada em publicidade com promoções/descontos agressivos; uso interno e informativo ao paciente.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</si>
</sst>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"/>
    <numFmt numFmtId="166" formatCode="0%"/>
    <numFmt numFmtId="167" formatCode="#,##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1F4E5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1"/>
      <color rgb="FF1F4E5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8"/>
      <color rgb="FF9C5700"/>
      <name val="Arial"/>
      <family val="0"/>
      <charset val="1"/>
    </font>
    <font>
      <b val="true"/>
      <sz val="12"/>
      <color rgb="FF1F4E5F"/>
      <name val="Arial"/>
      <family val="0"/>
      <charset val="1"/>
    </font>
    <font>
      <sz val="8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5F"/>
        <bgColor rgb="FF333333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4E5F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6" min="3" style="0" width="14"/>
  </cols>
  <sheetData>
    <row r="2" customFormat="false" ht="16.1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n">
        <v>29.8</v>
      </c>
    </row>
    <row r="5" customFormat="false" ht="15" hidden="false" customHeight="false" outlineLevel="0" collapsed="false">
      <c r="B5" s="2" t="s">
        <v>2</v>
      </c>
      <c r="C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3</v>
      </c>
      <c r="D8" s="6" t="s">
        <v>6</v>
      </c>
      <c r="E8" s="6" t="s">
        <v>7</v>
      </c>
      <c r="F8" s="6" t="s">
        <v>8</v>
      </c>
    </row>
    <row r="9" customFormat="false" ht="15" hidden="false" customHeight="false" outlineLevel="0" collapsed="false">
      <c r="B9" s="7" t="s">
        <v>9</v>
      </c>
      <c r="C9" s="8" t="n">
        <v>26.74</v>
      </c>
      <c r="D9" s="8" t="n">
        <v>28.89</v>
      </c>
      <c r="E9" s="8" t="n">
        <v>33.19</v>
      </c>
      <c r="F9" s="8" t="n">
        <v>33.19</v>
      </c>
    </row>
    <row r="10" customFormat="false" ht="15" hidden="false" customHeight="false" outlineLevel="0" collapsed="false">
      <c r="B10" s="7" t="s">
        <v>10</v>
      </c>
      <c r="C10" s="8" t="n">
        <v>53.48</v>
      </c>
      <c r="D10" s="8" t="n">
        <v>57.78</v>
      </c>
      <c r="E10" s="8" t="n">
        <v>71.65</v>
      </c>
      <c r="F10" s="8" t="n">
        <v>91.69</v>
      </c>
    </row>
    <row r="11" customFormat="false" ht="15" hidden="false" customHeight="false" outlineLevel="0" collapsed="false">
      <c r="B11" s="7" t="s">
        <v>11</v>
      </c>
      <c r="C11" s="8" t="n">
        <v>80.24</v>
      </c>
      <c r="D11" s="8" t="n">
        <v>86.69</v>
      </c>
      <c r="E11" s="8" t="n">
        <v>116.32</v>
      </c>
      <c r="F11" s="8" t="n">
        <v>131.34</v>
      </c>
    </row>
    <row r="12" customFormat="false" ht="15" hidden="false" customHeight="false" outlineLevel="0" collapsed="false">
      <c r="B12" s="7" t="s">
        <v>12</v>
      </c>
      <c r="C12" s="8" t="n">
        <v>107</v>
      </c>
      <c r="D12" s="8" t="n">
        <v>115.59</v>
      </c>
      <c r="E12" s="8" t="n">
        <v>165.8</v>
      </c>
      <c r="F12" s="8" t="n">
        <v>194.63</v>
      </c>
    </row>
    <row r="13" customFormat="false" ht="15" hidden="false" customHeight="false" outlineLevel="0" collapsed="false">
      <c r="B13" s="7" t="s">
        <v>13</v>
      </c>
      <c r="C13" s="8" t="n">
        <v>141.05</v>
      </c>
      <c r="D13" s="8" t="n">
        <v>152.38</v>
      </c>
      <c r="E13" s="8" t="n">
        <v>236.9</v>
      </c>
      <c r="F13" s="8" t="n">
        <v>306.3</v>
      </c>
    </row>
    <row r="14" customFormat="false" ht="15" hidden="false" customHeight="false" outlineLevel="0" collapsed="false">
      <c r="B14" s="7" t="s">
        <v>14</v>
      </c>
      <c r="C14" s="8" t="n">
        <v>166.92</v>
      </c>
      <c r="D14" s="8" t="n">
        <v>209.42</v>
      </c>
      <c r="E14" s="8" t="n">
        <v>293.78</v>
      </c>
      <c r="F14" s="8" t="n">
        <v>417.59</v>
      </c>
    </row>
    <row r="15" customFormat="false" ht="15" hidden="false" customHeight="false" outlineLevel="0" collapsed="false">
      <c r="B15" s="7" t="s">
        <v>15</v>
      </c>
      <c r="C15" s="8" t="n">
        <v>228.07</v>
      </c>
      <c r="D15" s="8" t="n">
        <v>294.7</v>
      </c>
      <c r="E15" s="8" t="n">
        <v>427.97</v>
      </c>
      <c r="F15" s="8" t="n">
        <v>598.27</v>
      </c>
    </row>
    <row r="16" customFormat="false" ht="15" hidden="false" customHeight="false" outlineLevel="0" collapsed="false">
      <c r="B16" s="7" t="s">
        <v>16</v>
      </c>
      <c r="C16" s="8" t="n">
        <v>291.5</v>
      </c>
      <c r="D16" s="8" t="n">
        <v>381.79</v>
      </c>
      <c r="E16" s="8" t="n">
        <v>562.41</v>
      </c>
      <c r="F16" s="8" t="n">
        <v>778.96</v>
      </c>
    </row>
    <row r="17" customFormat="false" ht="15" hidden="false" customHeight="false" outlineLevel="0" collapsed="false">
      <c r="B17" s="7" t="s">
        <v>17</v>
      </c>
      <c r="C17" s="8" t="n">
        <v>333.81</v>
      </c>
      <c r="D17" s="8" t="n">
        <v>451.99</v>
      </c>
      <c r="E17" s="8" t="n">
        <v>688.38</v>
      </c>
      <c r="F17" s="8" t="n">
        <v>959.65</v>
      </c>
    </row>
    <row r="18" customFormat="false" ht="15" hidden="false" customHeight="false" outlineLevel="0" collapsed="false">
      <c r="B18" s="7" t="s">
        <v>18</v>
      </c>
      <c r="C18" s="8" t="n">
        <v>397.28</v>
      </c>
      <c r="D18" s="8" t="n">
        <v>539.11</v>
      </c>
      <c r="E18" s="8" t="n">
        <v>822.81</v>
      </c>
      <c r="F18" s="8" t="n">
        <v>1140.34</v>
      </c>
    </row>
    <row r="19" customFormat="false" ht="15" hidden="false" customHeight="false" outlineLevel="0" collapsed="false">
      <c r="B19" s="7" t="s">
        <v>19</v>
      </c>
      <c r="C19" s="8" t="n">
        <v>434.89</v>
      </c>
      <c r="D19" s="8" t="n">
        <v>605.55</v>
      </c>
      <c r="E19" s="8" t="n">
        <v>946.9</v>
      </c>
      <c r="F19" s="8" t="n">
        <v>1321.03</v>
      </c>
    </row>
    <row r="20" customFormat="false" ht="15" hidden="false" customHeight="false" outlineLevel="0" collapsed="false">
      <c r="B20" s="7" t="s">
        <v>20</v>
      </c>
      <c r="C20" s="8" t="n">
        <v>491.33</v>
      </c>
      <c r="D20" s="8" t="n">
        <v>687.05</v>
      </c>
      <c r="E20" s="8" t="n">
        <v>1078.52</v>
      </c>
      <c r="F20" s="8" t="n">
        <v>1501.71</v>
      </c>
    </row>
    <row r="21" customFormat="false" ht="15" hidden="false" customHeight="false" outlineLevel="0" collapsed="false">
      <c r="B21" s="7" t="s">
        <v>21</v>
      </c>
      <c r="C21" s="8" t="n">
        <v>528.93</v>
      </c>
      <c r="D21" s="8" t="n">
        <v>753.48</v>
      </c>
      <c r="E21" s="8" t="n">
        <v>1202.61</v>
      </c>
      <c r="F21" s="8" t="n">
        <v>1682.4</v>
      </c>
    </row>
    <row r="22" customFormat="false" ht="15" hidden="false" customHeight="false" outlineLevel="0" collapsed="false">
      <c r="B22" s="7" t="s">
        <v>22</v>
      </c>
      <c r="C22" s="8" t="n">
        <v>571.23</v>
      </c>
      <c r="D22" s="8" t="n">
        <v>823.67</v>
      </c>
      <c r="E22" s="8" t="n">
        <v>1328.59</v>
      </c>
      <c r="F22" s="8" t="n">
        <v>1863.09</v>
      </c>
    </row>
    <row r="23" customFormat="false" ht="15" hidden="false" customHeight="false" outlineLevel="0" collapsed="false">
      <c r="B23" s="7" t="s">
        <v>23</v>
      </c>
      <c r="C23" s="8" t="n">
        <v>606.5</v>
      </c>
      <c r="D23" s="8" t="n">
        <v>888.23</v>
      </c>
      <c r="E23" s="8" t="n">
        <v>1451.74</v>
      </c>
      <c r="F23" s="8" t="n">
        <v>2043.78</v>
      </c>
    </row>
    <row r="24" customFormat="false" ht="15" hidden="false" customHeight="false" outlineLevel="0" collapsed="false">
      <c r="B24" s="7" t="s">
        <v>24</v>
      </c>
      <c r="C24" s="8" t="n">
        <v>660.57</v>
      </c>
      <c r="D24" s="8" t="n">
        <v>967.84</v>
      </c>
      <c r="E24" s="8" t="n">
        <v>1582.41</v>
      </c>
      <c r="F24" s="8" t="n">
        <v>2224.47</v>
      </c>
    </row>
    <row r="25" customFormat="false" ht="15" hidden="false" customHeight="false" outlineLevel="0" collapsed="false">
      <c r="B25" s="7" t="s">
        <v>25</v>
      </c>
      <c r="C25" s="8" t="n">
        <v>726.4</v>
      </c>
      <c r="D25" s="8" t="n">
        <v>1056.85</v>
      </c>
      <c r="E25" s="8" t="n">
        <v>1717.79</v>
      </c>
      <c r="F25" s="8" t="n">
        <v>2405.15</v>
      </c>
    </row>
    <row r="26" customFormat="false" ht="15" hidden="false" customHeight="false" outlineLevel="0" collapsed="false">
      <c r="B26" s="7" t="s">
        <v>26</v>
      </c>
      <c r="C26" s="8" t="n">
        <v>794.57</v>
      </c>
      <c r="D26" s="8" t="n">
        <v>1147.74</v>
      </c>
      <c r="E26" s="8" t="n">
        <v>1854.1</v>
      </c>
      <c r="F26" s="8" t="n">
        <v>2585.84</v>
      </c>
    </row>
    <row r="27" customFormat="false" ht="15" hidden="false" customHeight="false" outlineLevel="0" collapsed="false">
      <c r="B27" s="7" t="s">
        <v>27</v>
      </c>
      <c r="C27" s="8" t="n">
        <v>858.03</v>
      </c>
      <c r="D27" s="8" t="n">
        <v>1234.85</v>
      </c>
      <c r="E27" s="8" t="n">
        <v>1988.53</v>
      </c>
      <c r="F27" s="8" t="n">
        <v>2766.53</v>
      </c>
    </row>
    <row r="28" customFormat="false" ht="15" hidden="false" customHeight="false" outlineLevel="0" collapsed="false">
      <c r="B28" s="7" t="s">
        <v>28</v>
      </c>
      <c r="C28" s="8" t="n">
        <v>949.71</v>
      </c>
      <c r="D28" s="8" t="n">
        <v>1344.53</v>
      </c>
      <c r="E28" s="8" t="n">
        <v>2134.25</v>
      </c>
      <c r="F28" s="8" t="n">
        <v>2947.22</v>
      </c>
    </row>
    <row r="29" customFormat="false" ht="15" hidden="false" customHeight="false" outlineLevel="0" collapsed="false">
      <c r="B29" s="7" t="s">
        <v>29</v>
      </c>
      <c r="C29" s="8" t="n">
        <v>1123.65</v>
      </c>
      <c r="D29" s="8" t="n">
        <v>1520.03</v>
      </c>
      <c r="E29" s="8" t="n">
        <v>2312.88</v>
      </c>
      <c r="F29" s="8" t="n">
        <v>3127.9</v>
      </c>
    </row>
    <row r="30" customFormat="false" ht="15" hidden="false" customHeight="false" outlineLevel="0" collapsed="false">
      <c r="B30" s="7" t="s">
        <v>30</v>
      </c>
      <c r="C30" s="8" t="n">
        <v>1212.99</v>
      </c>
      <c r="D30" s="8" t="n">
        <v>1627.85</v>
      </c>
      <c r="E30" s="8" t="n">
        <v>2457.66</v>
      </c>
      <c r="F30" s="8" t="n">
        <v>3308.59</v>
      </c>
    </row>
    <row r="31" customFormat="false" ht="15" hidden="false" customHeight="false" outlineLevel="0" collapsed="false">
      <c r="B31" s="7" t="s">
        <v>31</v>
      </c>
      <c r="C31" s="8" t="n">
        <v>1271.77</v>
      </c>
      <c r="D31" s="8" t="n">
        <v>1711.23</v>
      </c>
      <c r="E31" s="8" t="n">
        <v>2590.22</v>
      </c>
      <c r="F31" s="8" t="n">
        <v>3489.28</v>
      </c>
    </row>
    <row r="32" customFormat="false" ht="15" hidden="false" customHeight="false" outlineLevel="0" collapsed="false">
      <c r="B32" s="7" t="s">
        <v>32</v>
      </c>
      <c r="C32" s="8" t="n">
        <v>1349.35</v>
      </c>
      <c r="D32" s="8" t="n">
        <v>1809.62</v>
      </c>
      <c r="E32" s="8" t="n">
        <v>2730.3</v>
      </c>
      <c r="F32" s="8" t="n">
        <v>3669.97</v>
      </c>
    </row>
    <row r="33" customFormat="false" ht="15" hidden="false" customHeight="false" outlineLevel="0" collapsed="false">
      <c r="B33" s="7" t="s">
        <v>33</v>
      </c>
      <c r="C33" s="8" t="n">
        <v>1433.97</v>
      </c>
      <c r="D33" s="8" t="n">
        <v>1913.67</v>
      </c>
      <c r="E33" s="8" t="n">
        <v>2873.19</v>
      </c>
      <c r="F33" s="8" t="n">
        <v>3850.66</v>
      </c>
    </row>
    <row r="34" customFormat="false" ht="15" hidden="false" customHeight="false" outlineLevel="0" collapsed="false">
      <c r="B34" s="7" t="s">
        <v>34</v>
      </c>
      <c r="C34" s="8" t="n">
        <v>1567.97</v>
      </c>
      <c r="D34" s="8" t="n">
        <v>2057.21</v>
      </c>
      <c r="E34" s="8" t="n">
        <v>3035.83</v>
      </c>
      <c r="F34" s="8" t="n">
        <v>4031.34</v>
      </c>
    </row>
    <row r="35" customFormat="false" ht="15" hidden="false" customHeight="false" outlineLevel="0" collapsed="false">
      <c r="B35" s="7" t="s">
        <v>35</v>
      </c>
      <c r="C35" s="8" t="n">
        <v>1727.81</v>
      </c>
      <c r="D35" s="8" t="n">
        <v>2221.42</v>
      </c>
      <c r="E35" s="8" t="n">
        <v>3208.81</v>
      </c>
      <c r="F35" s="8" t="n">
        <v>4212.03</v>
      </c>
    </row>
    <row r="36" customFormat="false" ht="15" hidden="false" customHeight="false" outlineLevel="0" collapsed="false">
      <c r="B36" s="7" t="s">
        <v>36</v>
      </c>
      <c r="C36" s="8" t="n">
        <v>1854.75</v>
      </c>
      <c r="D36" s="8" t="n">
        <v>2359.32</v>
      </c>
      <c r="E36" s="8" t="n">
        <v>3368.62</v>
      </c>
      <c r="F36" s="8" t="n">
        <v>4392.72</v>
      </c>
    </row>
    <row r="37" customFormat="false" ht="15" hidden="false" customHeight="false" outlineLevel="0" collapsed="false">
      <c r="B37" s="7" t="s">
        <v>37</v>
      </c>
      <c r="C37" s="8" t="n">
        <v>2009.91</v>
      </c>
      <c r="D37" s="8" t="n">
        <v>2519.79</v>
      </c>
      <c r="E37" s="8" t="n">
        <v>3539.74</v>
      </c>
      <c r="F37" s="8" t="n">
        <v>4573.41</v>
      </c>
    </row>
    <row r="38" customFormat="false" ht="15" hidden="false" customHeight="false" outlineLevel="0" collapsed="false">
      <c r="B38" s="7" t="s">
        <v>38</v>
      </c>
      <c r="C38" s="8" t="n">
        <v>2230.89</v>
      </c>
      <c r="D38" s="8" t="n">
        <v>2732.91</v>
      </c>
      <c r="E38" s="8" t="n">
        <v>3737.16</v>
      </c>
      <c r="F38" s="8" t="n">
        <v>4754.11</v>
      </c>
    </row>
    <row r="39" customFormat="false" ht="15" hidden="false" customHeight="false" outlineLevel="0" collapsed="false">
      <c r="B39" s="7" t="s">
        <v>39</v>
      </c>
      <c r="C39" s="8" t="n">
        <v>2360.17</v>
      </c>
      <c r="D39" s="8" t="n">
        <v>2872.67</v>
      </c>
      <c r="E39" s="8" t="n">
        <v>3897.91</v>
      </c>
      <c r="F39" s="8" t="n">
        <v>4934.78</v>
      </c>
    </row>
    <row r="40" customFormat="false" ht="15" hidden="false" customHeight="false" outlineLevel="0" collapsed="false">
      <c r="B40" s="7" t="s">
        <v>40</v>
      </c>
      <c r="C40" s="8" t="n">
        <v>2588.21</v>
      </c>
      <c r="D40" s="8" t="n">
        <v>3091.44</v>
      </c>
      <c r="E40" s="8" t="n">
        <v>4098.16</v>
      </c>
      <c r="F40" s="8" t="n">
        <v>5115.47</v>
      </c>
    </row>
    <row r="41" customFormat="false" ht="15" hidden="false" customHeight="false" outlineLevel="0" collapsed="false">
      <c r="B41" s="7" t="s">
        <v>41</v>
      </c>
      <c r="C41" s="8" t="n">
        <v>2839.74</v>
      </c>
      <c r="D41" s="8" t="n">
        <v>3329</v>
      </c>
      <c r="E41" s="8" t="n">
        <v>4307.82</v>
      </c>
      <c r="F41" s="8" t="n">
        <v>5296.16</v>
      </c>
    </row>
    <row r="42" customFormat="false" ht="15" hidden="false" customHeight="false" outlineLevel="0" collapsed="false">
      <c r="B42" s="7" t="s">
        <v>42</v>
      </c>
      <c r="C42" s="8" t="n">
        <v>2943.18</v>
      </c>
      <c r="D42" s="8" t="n">
        <v>3448.1</v>
      </c>
      <c r="E42" s="8" t="n">
        <v>4458.24</v>
      </c>
      <c r="F42" s="8" t="n">
        <v>5476.86</v>
      </c>
    </row>
    <row r="43" customFormat="false" ht="15" hidden="false" customHeight="false" outlineLevel="0" collapsed="false">
      <c r="B43" s="7" t="s">
        <v>43</v>
      </c>
      <c r="C43" s="8" t="n">
        <v>3164.15</v>
      </c>
      <c r="D43" s="8" t="n">
        <v>3661.2</v>
      </c>
      <c r="E43" s="8" t="n">
        <v>4655.66</v>
      </c>
      <c r="F43" s="8" t="n">
        <v>5657.53</v>
      </c>
    </row>
    <row r="44" customFormat="false" ht="15" hidden="false" customHeight="false" outlineLevel="0" collapsed="false">
      <c r="B44" s="7" t="s">
        <v>44</v>
      </c>
      <c r="C44" s="8" t="n">
        <v>3876.43</v>
      </c>
      <c r="D44" s="8" t="n">
        <v>4267.33</v>
      </c>
      <c r="E44" s="8" t="n">
        <v>5049.58</v>
      </c>
      <c r="F44" s="8" t="n">
        <v>5838.22</v>
      </c>
    </row>
    <row r="45" customFormat="false" ht="15" hidden="false" customHeight="false" outlineLevel="0" collapsed="false">
      <c r="B45" s="7" t="s">
        <v>45</v>
      </c>
      <c r="C45" s="8" t="n">
        <v>4266.66</v>
      </c>
      <c r="D45" s="8" t="n">
        <v>4615.84</v>
      </c>
      <c r="E45" s="8" t="n">
        <v>5314.7</v>
      </c>
      <c r="F45" s="8" t="n">
        <v>6018.92</v>
      </c>
    </row>
    <row r="46" customFormat="false" ht="15" hidden="false" customHeight="false" outlineLevel="0" collapsed="false">
      <c r="B46" s="7" t="s">
        <v>46</v>
      </c>
      <c r="C46" s="8" t="n">
        <v>4680.39</v>
      </c>
      <c r="D46" s="8" t="n">
        <v>4983.14</v>
      </c>
      <c r="E46" s="8" t="n">
        <v>5589.22</v>
      </c>
      <c r="F46" s="8" t="n">
        <v>6199.61</v>
      </c>
    </row>
    <row r="47" customFormat="false" ht="15" hidden="false" customHeight="false" outlineLevel="0" collapsed="false">
      <c r="B47" s="7" t="s">
        <v>47</v>
      </c>
      <c r="C47" s="8" t="n">
        <v>5176.41</v>
      </c>
      <c r="D47" s="8" t="n">
        <v>5416.27</v>
      </c>
      <c r="E47" s="8" t="n">
        <v>5896.65</v>
      </c>
      <c r="F47" s="8" t="n">
        <v>6380.3</v>
      </c>
    </row>
    <row r="48" customFormat="false" ht="15" hidden="false" customHeight="false" outlineLevel="0" collapsed="false">
      <c r="B48" s="7" t="s">
        <v>48</v>
      </c>
      <c r="C48" s="8" t="n">
        <v>5768.81</v>
      </c>
      <c r="D48" s="8" t="n">
        <v>5926.49</v>
      </c>
      <c r="E48" s="8" t="n">
        <v>6242.63</v>
      </c>
      <c r="F48" s="8" t="n">
        <v>6560.97</v>
      </c>
    </row>
    <row r="49" customFormat="false" ht="15" hidden="false" customHeight="false" outlineLevel="0" collapsed="false">
      <c r="B49" s="7" t="s">
        <v>49</v>
      </c>
      <c r="C49" s="8" t="n">
        <v>6276.59</v>
      </c>
      <c r="D49" s="8" t="n">
        <v>6369.03</v>
      </c>
      <c r="E49" s="8" t="n">
        <v>6554.76</v>
      </c>
      <c r="F49" s="8" t="n">
        <v>6741.67</v>
      </c>
    </row>
    <row r="50" customFormat="false" ht="15" hidden="false" customHeight="false" outlineLevel="0" collapsed="false">
      <c r="B50" s="7" t="s">
        <v>50</v>
      </c>
      <c r="C50" s="8" t="n">
        <v>6922.36</v>
      </c>
      <c r="D50" s="8" t="n">
        <v>6922.36</v>
      </c>
      <c r="E50" s="8" t="n">
        <v>6922.36</v>
      </c>
      <c r="F50" s="8" t="n">
        <v>6922.36</v>
      </c>
    </row>
  </sheetData>
  <dataValidations count="1">
    <dataValidation allowBlank="false" errorStyle="stop" operator="between" showDropDown="false" showErrorMessage="false" showInputMessage="false" sqref="C5" type="list">
      <formula1>"ORIGINAL,FAIXA I,FAIXA II,FAIXA III"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56"/>
    <col collapsed="false" customWidth="true" hidden="false" outlineLevel="0" max="4" min="4" style="0" width="15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44"/>
  </cols>
  <sheetData>
    <row r="2" customFormat="false" ht="17.35" hidden="false" customHeight="false" outlineLevel="0" collapsed="false">
      <c r="B2" s="9" t="s">
        <v>51</v>
      </c>
    </row>
    <row r="3" customFormat="false" ht="15" hidden="false" customHeight="false" outlineLevel="0" collapsed="false">
      <c r="B3" s="5" t="s">
        <v>52</v>
      </c>
    </row>
    <row r="4" customFormat="false" ht="15" hidden="false" customHeight="false" outlineLevel="0" collapsed="false">
      <c r="B4" s="10" t="s">
        <v>53</v>
      </c>
    </row>
    <row r="6" customFormat="false" ht="15" hidden="false" customHeight="false" outlineLevel="0" collapsed="false">
      <c r="B6" s="11" t="s">
        <v>54</v>
      </c>
      <c r="C6" s="12"/>
      <c r="D6" s="12"/>
      <c r="E6" s="12"/>
      <c r="F6" s="12"/>
      <c r="G6" s="12"/>
      <c r="H6" s="12"/>
      <c r="I6" s="12"/>
      <c r="J6" s="12"/>
      <c r="K6" s="12"/>
    </row>
    <row r="7" customFormat="false" ht="22.35" hidden="false" customHeight="false" outlineLevel="0" collapsed="false">
      <c r="B7" s="13" t="s">
        <v>55</v>
      </c>
      <c r="C7" s="13" t="s">
        <v>56</v>
      </c>
      <c r="D7" s="13" t="s">
        <v>57</v>
      </c>
      <c r="E7" s="13" t="s">
        <v>58</v>
      </c>
      <c r="F7" s="13" t="s">
        <v>5</v>
      </c>
      <c r="G7" s="13" t="s">
        <v>59</v>
      </c>
      <c r="H7" s="13" t="s">
        <v>60</v>
      </c>
      <c r="I7" s="13" t="s">
        <v>61</v>
      </c>
      <c r="J7" s="13" t="s">
        <v>62</v>
      </c>
      <c r="K7" s="13" t="s">
        <v>63</v>
      </c>
    </row>
    <row r="8" customFormat="false" ht="15" hidden="false" customHeight="false" outlineLevel="0" collapsed="false">
      <c r="B8" s="14" t="s">
        <v>64</v>
      </c>
      <c r="C8" s="14" t="s">
        <v>65</v>
      </c>
      <c r="D8" s="15" t="n">
        <v>300</v>
      </c>
      <c r="E8" s="16" t="n">
        <f aca="false">IF(D8="","",D8/J8)</f>
        <v>0.348561602453874</v>
      </c>
      <c r="F8" s="17" t="s">
        <v>16</v>
      </c>
      <c r="G8" s="18" t="n">
        <f aca="false">1*INDEX(Parametros!$C$9:$F$50,MATCH("3B",Parametros!$B$9:$B$50,0),MATCH(Parametros!$C$5,Parametros!$C$8:$F$8,0))</f>
        <v>291.5</v>
      </c>
      <c r="H8" s="19" t="n">
        <v>19.1</v>
      </c>
      <c r="I8" s="18" t="n">
        <f aca="false">H8*Parametros!$C$4</f>
        <v>569.18</v>
      </c>
      <c r="J8" s="20" t="n">
        <f aca="false">G8+I8</f>
        <v>860.68</v>
      </c>
      <c r="K8" s="21" t="s">
        <v>66</v>
      </c>
    </row>
    <row r="9" customFormat="false" ht="15" hidden="false" customHeight="false" outlineLevel="0" collapsed="false">
      <c r="B9" s="14" t="s">
        <v>67</v>
      </c>
      <c r="C9" s="14" t="s">
        <v>68</v>
      </c>
      <c r="D9" s="22" t="n">
        <v>300</v>
      </c>
      <c r="E9" s="16" t="n">
        <f aca="false">IF(D9="","",D9/J9)</f>
        <v>0.313013864427435</v>
      </c>
      <c r="F9" s="17" t="s">
        <v>16</v>
      </c>
      <c r="G9" s="18" t="n">
        <f aca="false">1*INDEX(Parametros!$C$9:$F$50,MATCH("3B",Parametros!$B$9:$B$50,0),MATCH(Parametros!$C$5,Parametros!$C$8:$F$8,0))</f>
        <v>291.5</v>
      </c>
      <c r="H9" s="19" t="n">
        <v>22.38</v>
      </c>
      <c r="I9" s="18" t="n">
        <f aca="false">H9*Parametros!$C$4</f>
        <v>666.924</v>
      </c>
      <c r="J9" s="20" t="n">
        <f aca="false">G9+I9</f>
        <v>958.424</v>
      </c>
      <c r="K9" s="21" t="s">
        <v>69</v>
      </c>
    </row>
    <row r="10" customFormat="false" ht="15" hidden="false" customHeight="false" outlineLevel="0" collapsed="false">
      <c r="B10" s="14" t="s">
        <v>70</v>
      </c>
      <c r="C10" s="14" t="s">
        <v>71</v>
      </c>
      <c r="D10" s="22" t="n">
        <v>300</v>
      </c>
      <c r="E10" s="16" t="n">
        <f aca="false">IF(D10="","",D10/J10)</f>
        <v>0.313013864427435</v>
      </c>
      <c r="F10" s="17" t="s">
        <v>16</v>
      </c>
      <c r="G10" s="18" t="n">
        <f aca="false">1*INDEX(Parametros!$C$9:$F$50,MATCH("3B",Parametros!$B$9:$B$50,0),MATCH(Parametros!$C$5,Parametros!$C$8:$F$8,0))</f>
        <v>291.5</v>
      </c>
      <c r="H10" s="19" t="n">
        <v>22.38</v>
      </c>
      <c r="I10" s="18" t="n">
        <f aca="false">H10*Parametros!$C$4</f>
        <v>666.924</v>
      </c>
      <c r="J10" s="20" t="n">
        <f aca="false">G10+I10</f>
        <v>958.424</v>
      </c>
      <c r="K10" s="21" t="s">
        <v>69</v>
      </c>
    </row>
    <row r="11" customFormat="false" ht="15" hidden="false" customHeight="false" outlineLevel="0" collapsed="false">
      <c r="B11" s="14" t="s">
        <v>72</v>
      </c>
      <c r="C11" s="14" t="s">
        <v>73</v>
      </c>
      <c r="D11" s="15" t="n">
        <v>300</v>
      </c>
      <c r="E11" s="16" t="n">
        <f aca="false">IF(D11="","",D11/J11)</f>
        <v>0.313013864427435</v>
      </c>
      <c r="F11" s="17" t="s">
        <v>16</v>
      </c>
      <c r="G11" s="18" t="n">
        <f aca="false">1*INDEX(Parametros!$C$9:$F$50,MATCH("3B",Parametros!$B$9:$B$50,0),MATCH(Parametros!$C$5,Parametros!$C$8:$F$8,0))</f>
        <v>291.5</v>
      </c>
      <c r="H11" s="19" t="n">
        <v>22.38</v>
      </c>
      <c r="I11" s="18" t="n">
        <f aca="false">H11*Parametros!$C$4</f>
        <v>666.924</v>
      </c>
      <c r="J11" s="20" t="n">
        <f aca="false">G11+I11</f>
        <v>958.424</v>
      </c>
      <c r="K11" s="21" t="s">
        <v>66</v>
      </c>
    </row>
    <row r="12" customFormat="false" ht="15" hidden="false" customHeight="false" outlineLevel="0" collapsed="false">
      <c r="B12" s="14" t="s">
        <v>74</v>
      </c>
      <c r="C12" s="14" t="s">
        <v>75</v>
      </c>
      <c r="D12" s="22" t="n">
        <v>300</v>
      </c>
      <c r="E12" s="16" t="n">
        <f aca="false">IF(D12="","",D12/J12)</f>
        <v>0.313013864427435</v>
      </c>
      <c r="F12" s="17" t="s">
        <v>16</v>
      </c>
      <c r="G12" s="18" t="n">
        <f aca="false">1*INDEX(Parametros!$C$9:$F$50,MATCH("3B",Parametros!$B$9:$B$50,0),MATCH(Parametros!$C$5,Parametros!$C$8:$F$8,0))</f>
        <v>291.5</v>
      </c>
      <c r="H12" s="19" t="n">
        <v>22.38</v>
      </c>
      <c r="I12" s="18" t="n">
        <f aca="false">H12*Parametros!$C$4</f>
        <v>666.924</v>
      </c>
      <c r="J12" s="20" t="n">
        <f aca="false">G12+I12</f>
        <v>958.424</v>
      </c>
      <c r="K12" s="21" t="s">
        <v>69</v>
      </c>
    </row>
    <row r="13" customFormat="false" ht="15" hidden="false" customHeight="false" outlineLevel="0" collapsed="false">
      <c r="B13" s="14" t="s">
        <v>76</v>
      </c>
      <c r="C13" s="14" t="s">
        <v>77</v>
      </c>
      <c r="D13" s="15" t="n">
        <v>500</v>
      </c>
      <c r="E13" s="16" t="n">
        <f aca="false">IF(D13="","",D13/J13)</f>
        <v>0.344870397704543</v>
      </c>
      <c r="F13" s="17" t="s">
        <v>17</v>
      </c>
      <c r="G13" s="18" t="n">
        <f aca="false">1*INDEX(Parametros!$C$9:$F$50,MATCH("3C",Parametros!$B$9:$B$50,0),MATCH(Parametros!$C$5,Parametros!$C$8:$F$8,0))</f>
        <v>333.81</v>
      </c>
      <c r="H13" s="19" t="n">
        <v>37.45</v>
      </c>
      <c r="I13" s="18" t="n">
        <f aca="false">H13*Parametros!$C$4</f>
        <v>1116.01</v>
      </c>
      <c r="J13" s="20" t="n">
        <f aca="false">G13+I13</f>
        <v>1449.82</v>
      </c>
      <c r="K13" s="21" t="s">
        <v>66</v>
      </c>
    </row>
    <row r="14" customFormat="false" ht="15" hidden="false" customHeight="false" outlineLevel="0" collapsed="false">
      <c r="B14" s="14" t="s">
        <v>78</v>
      </c>
      <c r="C14" s="14" t="s">
        <v>79</v>
      </c>
      <c r="D14" s="22" t="n">
        <v>300</v>
      </c>
      <c r="E14" s="16" t="n">
        <f aca="false">IF(D14="","",D14/J14)</f>
        <v>0.335197777862198</v>
      </c>
      <c r="F14" s="17" t="s">
        <v>15</v>
      </c>
      <c r="G14" s="18" t="n">
        <f aca="false">1*INDEX(Parametros!$C$9:$F$50,MATCH("3A",Parametros!$B$9:$B$50,0),MATCH(Parametros!$C$5,Parametros!$C$8:$F$8,0))</f>
        <v>228.07</v>
      </c>
      <c r="H14" s="19" t="n">
        <v>22.38</v>
      </c>
      <c r="I14" s="18" t="n">
        <f aca="false">H14*Parametros!$C$4</f>
        <v>666.924</v>
      </c>
      <c r="J14" s="20" t="n">
        <f aca="false">G14+I14</f>
        <v>894.994</v>
      </c>
      <c r="K14" s="21" t="s">
        <v>69</v>
      </c>
    </row>
    <row r="15" customFormat="false" ht="15" hidden="false" customHeight="false" outlineLevel="0" collapsed="false">
      <c r="B15" s="14" t="s">
        <v>80</v>
      </c>
      <c r="C15" s="14" t="s">
        <v>81</v>
      </c>
      <c r="D15" s="22" t="n">
        <v>300</v>
      </c>
      <c r="E15" s="16" t="n">
        <f aca="false">IF(D15="","",D15/J15)</f>
        <v>0.389392936412133</v>
      </c>
      <c r="F15" s="17" t="s">
        <v>15</v>
      </c>
      <c r="G15" s="18" t="n">
        <f aca="false">1*INDEX(Parametros!$C$9:$F$50,MATCH("3A",Parametros!$B$9:$B$50,0),MATCH(Parametros!$C$5,Parametros!$C$8:$F$8,0))</f>
        <v>228.07</v>
      </c>
      <c r="H15" s="19" t="n">
        <v>18.2</v>
      </c>
      <c r="I15" s="18" t="n">
        <f aca="false">H15*Parametros!$C$4</f>
        <v>542.36</v>
      </c>
      <c r="J15" s="20" t="n">
        <f aca="false">G15+I15</f>
        <v>770.43</v>
      </c>
      <c r="K15" s="21" t="s">
        <v>82</v>
      </c>
    </row>
    <row r="16" customFormat="false" ht="15" hidden="false" customHeight="false" outlineLevel="0" collapsed="false">
      <c r="B16" s="14" t="s">
        <v>80</v>
      </c>
      <c r="C16" s="14" t="s">
        <v>83</v>
      </c>
      <c r="D16" s="22" t="n">
        <v>300</v>
      </c>
      <c r="E16" s="16" t="n">
        <f aca="false">IF(D16="","",D16/J16)</f>
        <v>0.389392936412133</v>
      </c>
      <c r="F16" s="17" t="s">
        <v>15</v>
      </c>
      <c r="G16" s="18" t="n">
        <f aca="false">1*INDEX(Parametros!$C$9:$F$50,MATCH("3A",Parametros!$B$9:$B$50,0),MATCH(Parametros!$C$5,Parametros!$C$8:$F$8,0))</f>
        <v>228.07</v>
      </c>
      <c r="H16" s="19" t="n">
        <v>18.2</v>
      </c>
      <c r="I16" s="18" t="n">
        <f aca="false">H16*Parametros!$C$4</f>
        <v>542.36</v>
      </c>
      <c r="J16" s="20" t="n">
        <f aca="false">G16+I16</f>
        <v>770.43</v>
      </c>
      <c r="K16" s="21" t="s">
        <v>82</v>
      </c>
    </row>
    <row r="17" customFormat="false" ht="15" hidden="false" customHeight="false" outlineLevel="0" collapsed="false">
      <c r="B17" s="14" t="s">
        <v>80</v>
      </c>
      <c r="C17" s="14" t="s">
        <v>84</v>
      </c>
      <c r="D17" s="22" t="n">
        <v>300</v>
      </c>
      <c r="E17" s="16" t="n">
        <f aca="false">IF(D17="","",D17/J17)</f>
        <v>0.389392936412133</v>
      </c>
      <c r="F17" s="17" t="s">
        <v>15</v>
      </c>
      <c r="G17" s="18" t="n">
        <f aca="false">1*INDEX(Parametros!$C$9:$F$50,MATCH("3A",Parametros!$B$9:$B$50,0),MATCH(Parametros!$C$5,Parametros!$C$8:$F$8,0))</f>
        <v>228.07</v>
      </c>
      <c r="H17" s="19" t="n">
        <v>18.2</v>
      </c>
      <c r="I17" s="18" t="n">
        <f aca="false">H17*Parametros!$C$4</f>
        <v>542.36</v>
      </c>
      <c r="J17" s="20" t="n">
        <f aca="false">G17+I17</f>
        <v>770.43</v>
      </c>
      <c r="K17" s="21" t="s">
        <v>82</v>
      </c>
    </row>
    <row r="18" customFormat="false" ht="15" hidden="false" customHeight="false" outlineLevel="0" collapsed="false">
      <c r="B18" s="14" t="s">
        <v>85</v>
      </c>
      <c r="C18" s="14" t="s">
        <v>86</v>
      </c>
      <c r="D18" s="22" t="n">
        <v>150</v>
      </c>
      <c r="E18" s="16" t="n">
        <f aca="false">IF(D18="","",D18/J18)</f>
        <v>0.72190351518885</v>
      </c>
      <c r="F18" s="17" t="s">
        <v>11</v>
      </c>
      <c r="G18" s="18" t="n">
        <f aca="false">1*INDEX(Parametros!$C$9:$F$50,MATCH("1C",Parametros!$B$9:$B$50,0),MATCH(Parametros!$C$5,Parametros!$C$8:$F$8,0))</f>
        <v>80.24</v>
      </c>
      <c r="H18" s="19" t="n">
        <v>4.28</v>
      </c>
      <c r="I18" s="18" t="n">
        <f aca="false">H18*Parametros!$C$4</f>
        <v>127.544</v>
      </c>
      <c r="J18" s="20" t="n">
        <f aca="false">G18+I18</f>
        <v>207.784</v>
      </c>
      <c r="K18" s="21" t="s">
        <v>87</v>
      </c>
    </row>
    <row r="19" customFormat="false" ht="15" hidden="false" customHeight="false" outlineLevel="0" collapsed="false">
      <c r="B19" s="14" t="s">
        <v>88</v>
      </c>
      <c r="C19" s="14" t="s">
        <v>89</v>
      </c>
      <c r="D19" s="22" t="n">
        <v>300</v>
      </c>
      <c r="E19" s="16" t="n">
        <f aca="false">IF(D19="","",D19/J19)</f>
        <v>0.335197777862198</v>
      </c>
      <c r="F19" s="17" t="s">
        <v>15</v>
      </c>
      <c r="G19" s="18" t="n">
        <f aca="false">1*INDEX(Parametros!$C$9:$F$50,MATCH("3A",Parametros!$B$9:$B$50,0),MATCH(Parametros!$C$5,Parametros!$C$8:$F$8,0))</f>
        <v>228.07</v>
      </c>
      <c r="H19" s="19" t="n">
        <v>22.38</v>
      </c>
      <c r="I19" s="18" t="n">
        <f aca="false">H19*Parametros!$C$4</f>
        <v>666.924</v>
      </c>
      <c r="J19" s="20" t="n">
        <f aca="false">G19+I19</f>
        <v>894.994</v>
      </c>
      <c r="K19" s="21" t="s">
        <v>69</v>
      </c>
    </row>
    <row r="20" customFormat="false" ht="15" hidden="false" customHeight="false" outlineLevel="0" collapsed="false">
      <c r="B20" s="14" t="s">
        <v>90</v>
      </c>
      <c r="C20" s="14" t="s">
        <v>91</v>
      </c>
      <c r="D20" s="22" t="n">
        <v>300</v>
      </c>
      <c r="E20" s="16" t="n">
        <f aca="false">IF(D20="","",D20/J20)</f>
        <v>0.335197777862198</v>
      </c>
      <c r="F20" s="17" t="s">
        <v>15</v>
      </c>
      <c r="G20" s="18" t="n">
        <f aca="false">1*INDEX(Parametros!$C$9:$F$50,MATCH("3A",Parametros!$B$9:$B$50,0),MATCH(Parametros!$C$5,Parametros!$C$8:$F$8,0))</f>
        <v>228.07</v>
      </c>
      <c r="H20" s="19" t="n">
        <v>22.38</v>
      </c>
      <c r="I20" s="18" t="n">
        <f aca="false">H20*Parametros!$C$4</f>
        <v>666.924</v>
      </c>
      <c r="J20" s="20" t="n">
        <f aca="false">G20+I20</f>
        <v>894.994</v>
      </c>
      <c r="K20" s="21" t="s">
        <v>69</v>
      </c>
    </row>
    <row r="21" customFormat="false" ht="15" hidden="false" customHeight="false" outlineLevel="0" collapsed="false">
      <c r="C21" s="23" t="s">
        <v>92</v>
      </c>
    </row>
    <row r="23" customFormat="false" ht="15" hidden="false" customHeight="false" outlineLevel="0" collapsed="false">
      <c r="B23" s="11" t="s">
        <v>93</v>
      </c>
      <c r="C23" s="12"/>
      <c r="D23" s="12"/>
      <c r="E23" s="12"/>
      <c r="F23" s="12"/>
      <c r="G23" s="12"/>
      <c r="H23" s="12"/>
      <c r="I23" s="12"/>
      <c r="J23" s="12"/>
      <c r="K23" s="12"/>
    </row>
    <row r="24" customFormat="false" ht="22.35" hidden="false" customHeight="false" outlineLevel="0" collapsed="false">
      <c r="B24" s="13" t="s">
        <v>55</v>
      </c>
      <c r="C24" s="13" t="s">
        <v>56</v>
      </c>
      <c r="D24" s="13" t="s">
        <v>57</v>
      </c>
      <c r="E24" s="13" t="s">
        <v>58</v>
      </c>
      <c r="F24" s="13" t="s">
        <v>5</v>
      </c>
      <c r="G24" s="13" t="s">
        <v>59</v>
      </c>
      <c r="H24" s="13" t="s">
        <v>60</v>
      </c>
      <c r="I24" s="13" t="s">
        <v>61</v>
      </c>
      <c r="J24" s="13" t="s">
        <v>62</v>
      </c>
      <c r="K24" s="13" t="s">
        <v>63</v>
      </c>
    </row>
    <row r="25" customFormat="false" ht="15" hidden="false" customHeight="false" outlineLevel="0" collapsed="false">
      <c r="B25" s="14" t="s">
        <v>94</v>
      </c>
      <c r="C25" s="14" t="s">
        <v>95</v>
      </c>
      <c r="D25" s="15" t="n">
        <v>80</v>
      </c>
      <c r="E25" s="16" t="n">
        <f aca="false">IF(D25="","",D25/J25)</f>
        <v>1.02283478661109</v>
      </c>
      <c r="F25" s="17" t="s">
        <v>10</v>
      </c>
      <c r="G25" s="18" t="n">
        <f aca="false">1*INDEX(Parametros!$C$9:$F$50,MATCH("1B",Parametros!$B$9:$B$50,0),MATCH(Parametros!$C$5,Parametros!$C$8:$F$8,0))</f>
        <v>53.48</v>
      </c>
      <c r="H25" s="19" t="n">
        <v>0.83</v>
      </c>
      <c r="I25" s="18" t="n">
        <f aca="false">H25*Parametros!$C$4</f>
        <v>24.734</v>
      </c>
      <c r="J25" s="20" t="n">
        <f aca="false">G25+I25</f>
        <v>78.214</v>
      </c>
      <c r="K25" s="21" t="s">
        <v>66</v>
      </c>
    </row>
    <row r="26" customFormat="false" ht="15" hidden="false" customHeight="false" outlineLevel="0" collapsed="false">
      <c r="B26" s="14" t="s">
        <v>96</v>
      </c>
      <c r="C26" s="14" t="s">
        <v>97</v>
      </c>
      <c r="D26" s="22" t="n">
        <v>100</v>
      </c>
      <c r="E26" s="16" t="n">
        <f aca="false">IF(D26="","",D26/J26)</f>
        <v>1.12810793736745</v>
      </c>
      <c r="F26" s="17" t="s">
        <v>10</v>
      </c>
      <c r="G26" s="18" t="n">
        <f aca="false">1*INDEX(Parametros!$C$9:$F$50,MATCH("1B",Parametros!$B$9:$B$50,0),MATCH(Parametros!$C$5,Parametros!$C$8:$F$8,0))</f>
        <v>53.48</v>
      </c>
      <c r="H26" s="19" t="n">
        <v>1.18</v>
      </c>
      <c r="I26" s="18" t="n">
        <f aca="false">H26*Parametros!$C$4</f>
        <v>35.164</v>
      </c>
      <c r="J26" s="20" t="n">
        <f aca="false">G26+I26</f>
        <v>88.644</v>
      </c>
      <c r="K26" s="21"/>
    </row>
    <row r="27" customFormat="false" ht="15" hidden="false" customHeight="false" outlineLevel="0" collapsed="false">
      <c r="B27" s="14" t="s">
        <v>98</v>
      </c>
      <c r="C27" s="14" t="s">
        <v>99</v>
      </c>
      <c r="D27" s="22" t="n">
        <v>100</v>
      </c>
      <c r="E27" s="16" t="n">
        <f aca="false">IF(D27="","",D27/J27)</f>
        <v>1.08087074947578</v>
      </c>
      <c r="F27" s="17" t="s">
        <v>10</v>
      </c>
      <c r="G27" s="18" t="n">
        <f aca="false">1*INDEX(Parametros!$C$9:$F$50,MATCH("1B",Parametros!$B$9:$B$50,0),MATCH(Parametros!$C$5,Parametros!$C$8:$F$8,0))</f>
        <v>53.48</v>
      </c>
      <c r="H27" s="19" t="n">
        <v>1.31</v>
      </c>
      <c r="I27" s="18" t="n">
        <f aca="false">H27*Parametros!$C$4</f>
        <v>39.038</v>
      </c>
      <c r="J27" s="20" t="n">
        <f aca="false">G27+I27</f>
        <v>92.518</v>
      </c>
      <c r="K27" s="21"/>
    </row>
    <row r="28" customFormat="false" ht="15" hidden="false" customHeight="false" outlineLevel="0" collapsed="false">
      <c r="B28" s="14" t="s">
        <v>100</v>
      </c>
      <c r="C28" s="14" t="s">
        <v>101</v>
      </c>
      <c r="D28" s="22" t="n">
        <v>100</v>
      </c>
      <c r="E28" s="16" t="n">
        <f aca="false">IF(D28="","",D28/J28)</f>
        <v>1.05042016806723</v>
      </c>
      <c r="F28" s="17" t="s">
        <v>10</v>
      </c>
      <c r="G28" s="18" t="n">
        <f aca="false">1*INDEX(Parametros!$C$9:$F$50,MATCH("1B",Parametros!$B$9:$B$50,0),MATCH(Parametros!$C$5,Parametros!$C$8:$F$8,0))</f>
        <v>53.48</v>
      </c>
      <c r="H28" s="19" t="n">
        <v>1.4</v>
      </c>
      <c r="I28" s="18" t="n">
        <f aca="false">H28*Parametros!$C$4</f>
        <v>41.72</v>
      </c>
      <c r="J28" s="20" t="n">
        <f aca="false">G28+I28</f>
        <v>95.2</v>
      </c>
      <c r="K28" s="21"/>
    </row>
    <row r="29" customFormat="false" ht="15" hidden="false" customHeight="false" outlineLevel="0" collapsed="false">
      <c r="B29" s="14" t="s">
        <v>102</v>
      </c>
      <c r="C29" s="14" t="s">
        <v>103</v>
      </c>
      <c r="D29" s="15" t="n">
        <v>120</v>
      </c>
      <c r="E29" s="16" t="n">
        <f aca="false">IF(D29="","",D29/J29)</f>
        <v>1.26050420168067</v>
      </c>
      <c r="F29" s="17" t="s">
        <v>10</v>
      </c>
      <c r="G29" s="18" t="n">
        <f aca="false">1*INDEX(Parametros!$C$9:$F$50,MATCH("1B",Parametros!$B$9:$B$50,0),MATCH(Parametros!$C$5,Parametros!$C$8:$F$8,0))</f>
        <v>53.48</v>
      </c>
      <c r="H29" s="19" t="n">
        <v>1.4</v>
      </c>
      <c r="I29" s="18" t="n">
        <f aca="false">H29*Parametros!$C$4</f>
        <v>41.72</v>
      </c>
      <c r="J29" s="20" t="n">
        <f aca="false">G29+I29</f>
        <v>95.2</v>
      </c>
      <c r="K29" s="21" t="s">
        <v>66</v>
      </c>
    </row>
    <row r="30" customFormat="false" ht="15" hidden="false" customHeight="false" outlineLevel="0" collapsed="false">
      <c r="B30" s="14" t="s">
        <v>104</v>
      </c>
      <c r="C30" s="14" t="s">
        <v>105</v>
      </c>
      <c r="D30" s="22" t="n">
        <v>90</v>
      </c>
      <c r="E30" s="16" t="n">
        <f aca="false">IF(D30="","",D30/J30)</f>
        <v>0.9727836745282</v>
      </c>
      <c r="F30" s="17" t="s">
        <v>10</v>
      </c>
      <c r="G30" s="18" t="n">
        <f aca="false">1*INDEX(Parametros!$C$9:$F$50,MATCH("1B",Parametros!$B$9:$B$50,0),MATCH(Parametros!$C$5,Parametros!$C$8:$F$8,0))</f>
        <v>53.48</v>
      </c>
      <c r="H30" s="19" t="n">
        <v>1.31</v>
      </c>
      <c r="I30" s="18" t="n">
        <f aca="false">H30*Parametros!$C$4</f>
        <v>39.038</v>
      </c>
      <c r="J30" s="20" t="n">
        <f aca="false">G30+I30</f>
        <v>92.518</v>
      </c>
      <c r="K30" s="21"/>
    </row>
    <row r="31" customFormat="false" ht="15" hidden="false" customHeight="false" outlineLevel="0" collapsed="false">
      <c r="B31" s="14" t="s">
        <v>106</v>
      </c>
      <c r="C31" s="14" t="s">
        <v>107</v>
      </c>
      <c r="D31" s="22" t="n">
        <v>90</v>
      </c>
      <c r="E31" s="16" t="n">
        <f aca="false">IF(D31="","",D31/J31)</f>
        <v>0.925107415249882</v>
      </c>
      <c r="F31" s="17" t="s">
        <v>10</v>
      </c>
      <c r="G31" s="18" t="n">
        <f aca="false">1*INDEX(Parametros!$C$9:$F$50,MATCH("1B",Parametros!$B$9:$B$50,0),MATCH(Parametros!$C$5,Parametros!$C$8:$F$8,0))</f>
        <v>53.48</v>
      </c>
      <c r="H31" s="19" t="n">
        <v>1.47</v>
      </c>
      <c r="I31" s="18" t="n">
        <f aca="false">H31*Parametros!$C$4</f>
        <v>43.806</v>
      </c>
      <c r="J31" s="20" t="n">
        <f aca="false">G31+I31</f>
        <v>97.286</v>
      </c>
      <c r="K31" s="21"/>
    </row>
    <row r="32" customFormat="false" ht="15" hidden="false" customHeight="false" outlineLevel="0" collapsed="false">
      <c r="B32" s="14" t="s">
        <v>108</v>
      </c>
      <c r="C32" s="14" t="s">
        <v>109</v>
      </c>
      <c r="D32" s="22" t="n">
        <v>80</v>
      </c>
      <c r="E32" s="16" t="n">
        <f aca="false">IF(D32="","",D32/J32)</f>
        <v>0.890511598913576</v>
      </c>
      <c r="F32" s="17" t="s">
        <v>10</v>
      </c>
      <c r="G32" s="18" t="n">
        <f aca="false">1*INDEX(Parametros!$C$9:$F$50,MATCH("1B",Parametros!$B$9:$B$50,0),MATCH(Parametros!$C$5,Parametros!$C$8:$F$8,0))</f>
        <v>53.48</v>
      </c>
      <c r="H32" s="19" t="n">
        <v>1.22</v>
      </c>
      <c r="I32" s="18" t="n">
        <f aca="false">H32*Parametros!$C$4</f>
        <v>36.356</v>
      </c>
      <c r="J32" s="20" t="n">
        <f aca="false">G32+I32</f>
        <v>89.836</v>
      </c>
      <c r="K32" s="21"/>
    </row>
    <row r="33" customFormat="false" ht="15" hidden="false" customHeight="false" outlineLevel="0" collapsed="false">
      <c r="B33" s="14" t="s">
        <v>110</v>
      </c>
      <c r="C33" s="14" t="s">
        <v>111</v>
      </c>
      <c r="D33" s="22" t="n">
        <v>80</v>
      </c>
      <c r="E33" s="16" t="n">
        <f aca="false">IF(D33="","",D33/J33)</f>
        <v>0.890511598913576</v>
      </c>
      <c r="F33" s="17" t="s">
        <v>10</v>
      </c>
      <c r="G33" s="18" t="n">
        <f aca="false">1*INDEX(Parametros!$C$9:$F$50,MATCH("1B",Parametros!$B$9:$B$50,0),MATCH(Parametros!$C$5,Parametros!$C$8:$F$8,0))</f>
        <v>53.48</v>
      </c>
      <c r="H33" s="19" t="n">
        <v>1.22</v>
      </c>
      <c r="I33" s="18" t="n">
        <f aca="false">H33*Parametros!$C$4</f>
        <v>36.356</v>
      </c>
      <c r="J33" s="20" t="n">
        <f aca="false">G33+I33</f>
        <v>89.836</v>
      </c>
      <c r="K33" s="21"/>
    </row>
    <row r="34" customFormat="false" ht="15" hidden="false" customHeight="false" outlineLevel="0" collapsed="false">
      <c r="B34" s="14" t="s">
        <v>112</v>
      </c>
      <c r="C34" s="14" t="s">
        <v>113</v>
      </c>
      <c r="D34" s="22" t="n">
        <v>80</v>
      </c>
      <c r="E34" s="16" t="n">
        <f aca="false">IF(D34="","",D34/J34)</f>
        <v>0.890511598913576</v>
      </c>
      <c r="F34" s="17" t="s">
        <v>10</v>
      </c>
      <c r="G34" s="18" t="n">
        <f aca="false">1*INDEX(Parametros!$C$9:$F$50,MATCH("1B",Parametros!$B$9:$B$50,0),MATCH(Parametros!$C$5,Parametros!$C$8:$F$8,0))</f>
        <v>53.48</v>
      </c>
      <c r="H34" s="19" t="n">
        <v>1.22</v>
      </c>
      <c r="I34" s="18" t="n">
        <f aca="false">H34*Parametros!$C$4</f>
        <v>36.356</v>
      </c>
      <c r="J34" s="20" t="n">
        <f aca="false">G34+I34</f>
        <v>89.836</v>
      </c>
      <c r="K34" s="21"/>
    </row>
    <row r="35" customFormat="false" ht="15" hidden="false" customHeight="false" outlineLevel="0" collapsed="false">
      <c r="B35" s="14" t="s">
        <v>114</v>
      </c>
      <c r="C35" s="14" t="s">
        <v>115</v>
      </c>
      <c r="D35" s="22" t="n">
        <v>80</v>
      </c>
      <c r="E35" s="16" t="n">
        <f aca="false">IF(D35="","",D35/J35)</f>
        <v>0.864696599580622</v>
      </c>
      <c r="F35" s="17" t="s">
        <v>10</v>
      </c>
      <c r="G35" s="18" t="n">
        <f aca="false">1*INDEX(Parametros!$C$9:$F$50,MATCH("1B",Parametros!$B$9:$B$50,0),MATCH(Parametros!$C$5,Parametros!$C$8:$F$8,0))</f>
        <v>53.48</v>
      </c>
      <c r="H35" s="19" t="n">
        <v>1.31</v>
      </c>
      <c r="I35" s="18" t="n">
        <f aca="false">H35*Parametros!$C$4</f>
        <v>39.038</v>
      </c>
      <c r="J35" s="20" t="n">
        <f aca="false">G35+I35</f>
        <v>92.518</v>
      </c>
      <c r="K35" s="21"/>
    </row>
    <row r="36" customFormat="false" ht="15" hidden="false" customHeight="false" outlineLevel="0" collapsed="false">
      <c r="B36" s="14" t="s">
        <v>116</v>
      </c>
      <c r="C36" s="14" t="s">
        <v>117</v>
      </c>
      <c r="D36" s="22" t="n">
        <v>90</v>
      </c>
      <c r="E36" s="16" t="n">
        <f aca="false">IF(D36="","",D36/J36)</f>
        <v>0.9727836745282</v>
      </c>
      <c r="F36" s="17" t="s">
        <v>10</v>
      </c>
      <c r="G36" s="18" t="n">
        <f aca="false">1*INDEX(Parametros!$C$9:$F$50,MATCH("1B",Parametros!$B$9:$B$50,0),MATCH(Parametros!$C$5,Parametros!$C$8:$F$8,0))</f>
        <v>53.48</v>
      </c>
      <c r="H36" s="19" t="n">
        <v>1.31</v>
      </c>
      <c r="I36" s="18" t="n">
        <f aca="false">H36*Parametros!$C$4</f>
        <v>39.038</v>
      </c>
      <c r="J36" s="20" t="n">
        <f aca="false">G36+I36</f>
        <v>92.518</v>
      </c>
      <c r="K36" s="21"/>
    </row>
    <row r="37" customFormat="false" ht="15" hidden="false" customHeight="false" outlineLevel="0" collapsed="false">
      <c r="B37" s="14" t="s">
        <v>118</v>
      </c>
      <c r="C37" s="14" t="s">
        <v>119</v>
      </c>
      <c r="D37" s="22" t="n">
        <v>90</v>
      </c>
      <c r="E37" s="16" t="n">
        <f aca="false">IF(D37="","",D37/J37)</f>
        <v>1.00182554877777</v>
      </c>
      <c r="F37" s="17" t="s">
        <v>10</v>
      </c>
      <c r="G37" s="18" t="n">
        <f aca="false">1*INDEX(Parametros!$C$9:$F$50,MATCH("1B",Parametros!$B$9:$B$50,0),MATCH(Parametros!$C$5,Parametros!$C$8:$F$8,0))</f>
        <v>53.48</v>
      </c>
      <c r="H37" s="19" t="n">
        <v>1.22</v>
      </c>
      <c r="I37" s="18" t="n">
        <f aca="false">H37*Parametros!$C$4</f>
        <v>36.356</v>
      </c>
      <c r="J37" s="20" t="n">
        <f aca="false">G37+I37</f>
        <v>89.836</v>
      </c>
      <c r="K37" s="21"/>
    </row>
    <row r="38" customFormat="false" ht="15" hidden="false" customHeight="false" outlineLevel="0" collapsed="false">
      <c r="B38" s="14" t="s">
        <v>120</v>
      </c>
      <c r="C38" s="14" t="s">
        <v>121</v>
      </c>
      <c r="D38" s="22" t="n">
        <v>80</v>
      </c>
      <c r="E38" s="16" t="n">
        <f aca="false">IF(D38="","",D38/J38)</f>
        <v>0.890511598913576</v>
      </c>
      <c r="F38" s="17" t="s">
        <v>10</v>
      </c>
      <c r="G38" s="18" t="n">
        <f aca="false">1*INDEX(Parametros!$C$9:$F$50,MATCH("1B",Parametros!$B$9:$B$50,0),MATCH(Parametros!$C$5,Parametros!$C$8:$F$8,0))</f>
        <v>53.48</v>
      </c>
      <c r="H38" s="19" t="n">
        <v>1.22</v>
      </c>
      <c r="I38" s="18" t="n">
        <f aca="false">H38*Parametros!$C$4</f>
        <v>36.356</v>
      </c>
      <c r="J38" s="20" t="n">
        <f aca="false">G38+I38</f>
        <v>89.836</v>
      </c>
      <c r="K38" s="21"/>
    </row>
    <row r="39" customFormat="false" ht="15" hidden="false" customHeight="false" outlineLevel="0" collapsed="false">
      <c r="B39" s="14" t="s">
        <v>122</v>
      </c>
      <c r="C39" s="14" t="s">
        <v>123</v>
      </c>
      <c r="D39" s="22" t="n">
        <v>90</v>
      </c>
      <c r="E39" s="16" t="n">
        <f aca="false">IF(D39="","",D39/J39)</f>
        <v>1.00182554877777</v>
      </c>
      <c r="F39" s="17" t="s">
        <v>10</v>
      </c>
      <c r="G39" s="18" t="n">
        <f aca="false">1*INDEX(Parametros!$C$9:$F$50,MATCH("1B",Parametros!$B$9:$B$50,0),MATCH(Parametros!$C$5,Parametros!$C$8:$F$8,0))</f>
        <v>53.48</v>
      </c>
      <c r="H39" s="19" t="n">
        <v>1.22</v>
      </c>
      <c r="I39" s="18" t="n">
        <f aca="false">H39*Parametros!$C$4</f>
        <v>36.356</v>
      </c>
      <c r="J39" s="20" t="n">
        <f aca="false">G39+I39</f>
        <v>89.836</v>
      </c>
      <c r="K39" s="21"/>
    </row>
    <row r="40" customFormat="false" ht="15" hidden="false" customHeight="false" outlineLevel="0" collapsed="false">
      <c r="B40" s="14" t="s">
        <v>124</v>
      </c>
      <c r="C40" s="14" t="s">
        <v>125</v>
      </c>
      <c r="D40" s="22" t="n">
        <v>90</v>
      </c>
      <c r="E40" s="16" t="n">
        <f aca="false">IF(D40="","",D40/J40)</f>
        <v>1.00182554877777</v>
      </c>
      <c r="F40" s="17" t="s">
        <v>10</v>
      </c>
      <c r="G40" s="18" t="n">
        <f aca="false">1*INDEX(Parametros!$C$9:$F$50,MATCH("1B",Parametros!$B$9:$B$50,0),MATCH(Parametros!$C$5,Parametros!$C$8:$F$8,0))</f>
        <v>53.48</v>
      </c>
      <c r="H40" s="19" t="n">
        <v>1.22</v>
      </c>
      <c r="I40" s="18" t="n">
        <f aca="false">H40*Parametros!$C$4</f>
        <v>36.356</v>
      </c>
      <c r="J40" s="20" t="n">
        <f aca="false">G40+I40</f>
        <v>89.836</v>
      </c>
      <c r="K40" s="21"/>
    </row>
    <row r="42" customFormat="false" ht="15" hidden="false" customHeight="false" outlineLevel="0" collapsed="false">
      <c r="B42" s="11" t="s">
        <v>126</v>
      </c>
      <c r="C42" s="12"/>
      <c r="D42" s="12"/>
      <c r="E42" s="12"/>
      <c r="F42" s="12"/>
      <c r="G42" s="12"/>
      <c r="H42" s="12"/>
      <c r="I42" s="12"/>
      <c r="J42" s="12"/>
      <c r="K42" s="12"/>
    </row>
    <row r="43" customFormat="false" ht="22.35" hidden="false" customHeight="false" outlineLevel="0" collapsed="false">
      <c r="B43" s="13" t="s">
        <v>55</v>
      </c>
      <c r="C43" s="13" t="s">
        <v>56</v>
      </c>
      <c r="D43" s="13" t="s">
        <v>57</v>
      </c>
      <c r="E43" s="13" t="s">
        <v>58</v>
      </c>
      <c r="F43" s="13" t="s">
        <v>5</v>
      </c>
      <c r="G43" s="13" t="s">
        <v>59</v>
      </c>
      <c r="H43" s="13" t="s">
        <v>60</v>
      </c>
      <c r="I43" s="13" t="s">
        <v>61</v>
      </c>
      <c r="J43" s="13" t="s">
        <v>62</v>
      </c>
      <c r="K43" s="13" t="s">
        <v>63</v>
      </c>
    </row>
    <row r="44" customFormat="false" ht="15" hidden="false" customHeight="false" outlineLevel="0" collapsed="false">
      <c r="B44" s="14" t="s">
        <v>127</v>
      </c>
      <c r="C44" s="14" t="s">
        <v>128</v>
      </c>
      <c r="D44" s="22" t="n">
        <v>120</v>
      </c>
      <c r="E44" s="16" t="n">
        <f aca="false">IF(D44="","",D44/J44)</f>
        <v>0.481602774031979</v>
      </c>
      <c r="F44" s="17" t="s">
        <v>14</v>
      </c>
      <c r="G44" s="18" t="n">
        <f aca="false">1*INDEX(Parametros!$C$9:$F$50,MATCH("2C",Parametros!$B$9:$B$50,0),MATCH(Parametros!$C$5,Parametros!$C$8:$F$8,0))</f>
        <v>166.92</v>
      </c>
      <c r="H44" s="19" t="n">
        <v>2.76</v>
      </c>
      <c r="I44" s="18" t="n">
        <f aca="false">H44*Parametros!$C$4</f>
        <v>82.248</v>
      </c>
      <c r="J44" s="20" t="n">
        <f aca="false">G44+I44</f>
        <v>249.168</v>
      </c>
      <c r="K44" s="21"/>
    </row>
    <row r="45" customFormat="false" ht="15" hidden="false" customHeight="false" outlineLevel="0" collapsed="false">
      <c r="B45" s="14" t="s">
        <v>129</v>
      </c>
      <c r="C45" s="14" t="s">
        <v>130</v>
      </c>
      <c r="D45" s="22" t="n">
        <v>150</v>
      </c>
      <c r="E45" s="16" t="n">
        <f aca="false">IF(D45="","",D45/J45)</f>
        <v>0.416638890740617</v>
      </c>
      <c r="F45" s="17" t="s">
        <v>14</v>
      </c>
      <c r="G45" s="18" t="n">
        <f aca="false">1*INDEX(Parametros!$C$9:$F$50,MATCH("2C",Parametros!$B$9:$B$50,0),MATCH(Parametros!$C$5,Parametros!$C$8:$F$8,0))</f>
        <v>166.92</v>
      </c>
      <c r="H45" s="19" t="n">
        <v>6.48</v>
      </c>
      <c r="I45" s="18" t="n">
        <f aca="false">H45*Parametros!$C$4</f>
        <v>193.104</v>
      </c>
      <c r="J45" s="20" t="n">
        <f aca="false">G45+I45</f>
        <v>360.024</v>
      </c>
      <c r="K45" s="21" t="s">
        <v>131</v>
      </c>
    </row>
    <row r="47" customFormat="false" ht="15" hidden="false" customHeight="false" outlineLevel="0" collapsed="false">
      <c r="B47" s="11" t="s">
        <v>132</v>
      </c>
      <c r="C47" s="12"/>
      <c r="D47" s="12"/>
      <c r="E47" s="12"/>
      <c r="F47" s="12"/>
      <c r="G47" s="12"/>
      <c r="H47" s="12"/>
      <c r="I47" s="12"/>
      <c r="J47" s="12"/>
      <c r="K47" s="12"/>
    </row>
    <row r="48" customFormat="false" ht="22.35" hidden="false" customHeight="false" outlineLevel="0" collapsed="false">
      <c r="B48" s="13" t="s">
        <v>55</v>
      </c>
      <c r="C48" s="13" t="s">
        <v>56</v>
      </c>
      <c r="D48" s="13" t="s">
        <v>57</v>
      </c>
      <c r="E48" s="13" t="s">
        <v>58</v>
      </c>
      <c r="F48" s="13" t="s">
        <v>5</v>
      </c>
      <c r="G48" s="13" t="s">
        <v>59</v>
      </c>
      <c r="H48" s="13" t="s">
        <v>60</v>
      </c>
      <c r="I48" s="13" t="s">
        <v>61</v>
      </c>
      <c r="J48" s="13" t="s">
        <v>62</v>
      </c>
      <c r="K48" s="13" t="s">
        <v>63</v>
      </c>
    </row>
    <row r="49" customFormat="false" ht="15" hidden="false" customHeight="false" outlineLevel="0" collapsed="false">
      <c r="B49" s="14" t="s">
        <v>133</v>
      </c>
      <c r="C49" s="14" t="s">
        <v>134</v>
      </c>
      <c r="D49" s="15" t="n">
        <v>150</v>
      </c>
      <c r="E49" s="16" t="n">
        <f aca="false">IF(D49="","",D49/J49)</f>
        <v>0.372763419483101</v>
      </c>
      <c r="F49" s="17" t="s">
        <v>15</v>
      </c>
      <c r="G49" s="18" t="n">
        <f aca="false">1*INDEX(Parametros!$C$9:$F$50,MATCH("3A",Parametros!$B$9:$B$50,0),MATCH(Parametros!$C$5,Parametros!$C$8:$F$8,0))</f>
        <v>228.07</v>
      </c>
      <c r="H49" s="19" t="n">
        <v>5.85</v>
      </c>
      <c r="I49" s="18" t="n">
        <f aca="false">H49*Parametros!$C$4</f>
        <v>174.33</v>
      </c>
      <c r="J49" s="20" t="n">
        <f aca="false">G49+I49</f>
        <v>402.4</v>
      </c>
      <c r="K49" s="21" t="s">
        <v>66</v>
      </c>
    </row>
    <row r="50" customFormat="false" ht="15" hidden="false" customHeight="false" outlineLevel="0" collapsed="false">
      <c r="B50" s="14" t="s">
        <v>135</v>
      </c>
      <c r="C50" s="14" t="s">
        <v>136</v>
      </c>
      <c r="D50" s="22" t="n">
        <v>150</v>
      </c>
      <c r="E50" s="16" t="n">
        <f aca="false">IF(D50="","",D50/J50)</f>
        <v>0.532012995304099</v>
      </c>
      <c r="F50" s="17" t="s">
        <v>14</v>
      </c>
      <c r="G50" s="18" t="n">
        <f aca="false">1*INDEX(Parametros!$C$9:$F$50,MATCH("2C",Parametros!$B$9:$B$50,0),MATCH(Parametros!$C$5,Parametros!$C$8:$F$8,0))</f>
        <v>166.92</v>
      </c>
      <c r="H50" s="19" t="n">
        <v>3.86</v>
      </c>
      <c r="I50" s="18" t="n">
        <f aca="false">H50*Parametros!$C$4</f>
        <v>115.028</v>
      </c>
      <c r="J50" s="20" t="n">
        <f aca="false">G50+I50</f>
        <v>281.948</v>
      </c>
      <c r="K50" s="21"/>
    </row>
    <row r="51" customFormat="false" ht="15" hidden="false" customHeight="false" outlineLevel="0" collapsed="false">
      <c r="B51" s="14" t="s">
        <v>137</v>
      </c>
      <c r="C51" s="14" t="s">
        <v>138</v>
      </c>
      <c r="D51" s="22" t="n">
        <v>150</v>
      </c>
      <c r="E51" s="16" t="n">
        <f aca="false">IF(D51="","",D51/J51)</f>
        <v>0.591263490661979</v>
      </c>
      <c r="F51" s="17" t="s">
        <v>13</v>
      </c>
      <c r="G51" s="18" t="n">
        <f aca="false">1*INDEX(Parametros!$C$9:$F$50,MATCH("2B",Parametros!$B$9:$B$50,0),MATCH(Parametros!$C$5,Parametros!$C$8:$F$8,0))</f>
        <v>141.05</v>
      </c>
      <c r="H51" s="19" t="n">
        <v>3.78</v>
      </c>
      <c r="I51" s="18" t="n">
        <f aca="false">H51*Parametros!$C$4</f>
        <v>112.644</v>
      </c>
      <c r="J51" s="20" t="n">
        <f aca="false">G51+I51</f>
        <v>253.694</v>
      </c>
      <c r="K51" s="21"/>
    </row>
    <row r="52" customFormat="false" ht="15" hidden="false" customHeight="false" outlineLevel="0" collapsed="false">
      <c r="B52" s="14" t="s">
        <v>139</v>
      </c>
      <c r="C52" s="14" t="s">
        <v>140</v>
      </c>
      <c r="D52" s="22" t="n">
        <v>150</v>
      </c>
      <c r="E52" s="16" t="n">
        <f aca="false">IF(D52="","",D52/J52)</f>
        <v>0.717991920197591</v>
      </c>
      <c r="F52" s="17" t="s">
        <v>12</v>
      </c>
      <c r="G52" s="18" t="n">
        <f aca="false">1*INDEX(Parametros!$C$9:$F$50,MATCH("2A",Parametros!$B$9:$B$50,0),MATCH(Parametros!$C$5,Parametros!$C$8:$F$8,0))</f>
        <v>107</v>
      </c>
      <c r="H52" s="19" t="n">
        <v>3.42</v>
      </c>
      <c r="I52" s="18" t="n">
        <f aca="false">H52*Parametros!$C$4</f>
        <v>101.916</v>
      </c>
      <c r="J52" s="20" t="n">
        <f aca="false">G52+I52</f>
        <v>208.916</v>
      </c>
      <c r="K52" s="21" t="s">
        <v>141</v>
      </c>
    </row>
    <row r="53" customFormat="false" ht="15" hidden="false" customHeight="false" outlineLevel="0" collapsed="false">
      <c r="B53" s="14" t="s">
        <v>142</v>
      </c>
      <c r="C53" s="14" t="s">
        <v>143</v>
      </c>
      <c r="D53" s="15" t="n">
        <v>150</v>
      </c>
      <c r="E53" s="16" t="n">
        <f aca="false">IF(D53="","",D53/J53)</f>
        <v>0.617370331651342</v>
      </c>
      <c r="F53" s="17" t="s">
        <v>13</v>
      </c>
      <c r="G53" s="18" t="n">
        <f aca="false">1*INDEX(Parametros!$C$9:$F$50,MATCH("2B",Parametros!$B$9:$B$50,0),MATCH(Parametros!$C$5,Parametros!$C$8:$F$8,0))</f>
        <v>141.05</v>
      </c>
      <c r="H53" s="19" t="n">
        <v>3.42</v>
      </c>
      <c r="I53" s="18" t="n">
        <f aca="false">H53*Parametros!$C$4</f>
        <v>101.916</v>
      </c>
      <c r="J53" s="20" t="n">
        <f aca="false">G53+I53</f>
        <v>242.966</v>
      </c>
      <c r="K53" s="21" t="s">
        <v>66</v>
      </c>
    </row>
    <row r="54" customFormat="false" ht="15" hidden="false" customHeight="false" outlineLevel="0" collapsed="false">
      <c r="B54" s="14" t="s">
        <v>144</v>
      </c>
      <c r="C54" s="14" t="s">
        <v>145</v>
      </c>
      <c r="D54" s="22" t="n">
        <v>150</v>
      </c>
      <c r="E54" s="16" t="n">
        <f aca="false">IF(D54="","",D54/J54)</f>
        <v>0.806581706726891</v>
      </c>
      <c r="F54" s="17" t="s">
        <v>12</v>
      </c>
      <c r="G54" s="18" t="n">
        <f aca="false">1*INDEX(Parametros!$C$9:$F$50,MATCH("2A",Parametros!$B$9:$B$50,0),MATCH(Parametros!$C$5,Parametros!$C$8:$F$8,0))</f>
        <v>107</v>
      </c>
      <c r="H54" s="19" t="n">
        <v>2.65</v>
      </c>
      <c r="I54" s="18" t="n">
        <f aca="false">H54*Parametros!$C$4</f>
        <v>78.97</v>
      </c>
      <c r="J54" s="20" t="n">
        <f aca="false">G54+I54</f>
        <v>185.97</v>
      </c>
      <c r="K54" s="21"/>
    </row>
    <row r="55" customFormat="false" ht="15" hidden="false" customHeight="false" outlineLevel="0" collapsed="false">
      <c r="B55" s="14" t="s">
        <v>146</v>
      </c>
      <c r="C55" s="14" t="s">
        <v>147</v>
      </c>
      <c r="D55" s="22" t="n">
        <v>250</v>
      </c>
      <c r="E55" s="16" t="n">
        <f aca="false">IF(D55="","",D55/J55)</f>
        <v>0.602531596756934</v>
      </c>
      <c r="F55" s="17" t="s">
        <v>15</v>
      </c>
      <c r="G55" s="18" t="n">
        <f aca="false">1*INDEX(Parametros!$C$9:$F$50,MATCH("3A",Parametros!$B$9:$B$50,0),MATCH(Parametros!$C$5,Parametros!$C$8:$F$8,0))</f>
        <v>228.07</v>
      </c>
      <c r="H55" s="19" t="n">
        <v>6.27</v>
      </c>
      <c r="I55" s="18" t="n">
        <f aca="false">H55*Parametros!$C$4</f>
        <v>186.846</v>
      </c>
      <c r="J55" s="20" t="n">
        <f aca="false">G55+I55</f>
        <v>414.916</v>
      </c>
      <c r="K55" s="21"/>
    </row>
    <row r="56" customFormat="false" ht="15" hidden="false" customHeight="false" outlineLevel="0" collapsed="false">
      <c r="B56" s="14" t="s">
        <v>148</v>
      </c>
      <c r="C56" s="14" t="s">
        <v>149</v>
      </c>
      <c r="D56" s="22" t="n">
        <v>150</v>
      </c>
      <c r="E56" s="16" t="n">
        <f aca="false">IF(D56="","",D56/J56)</f>
        <v>0.588498387514418</v>
      </c>
      <c r="F56" s="17" t="s">
        <v>13</v>
      </c>
      <c r="G56" s="18" t="n">
        <f aca="false">1*INDEX(Parametros!$C$9:$F$50,MATCH("2B",Parametros!$B$9:$B$50,0),MATCH(Parametros!$C$5,Parametros!$C$8:$F$8,0))</f>
        <v>141.05</v>
      </c>
      <c r="H56" s="19" t="n">
        <v>3.82</v>
      </c>
      <c r="I56" s="18" t="n">
        <f aca="false">H56*Parametros!$C$4</f>
        <v>113.836</v>
      </c>
      <c r="J56" s="20" t="n">
        <f aca="false">G56+I56</f>
        <v>254.886</v>
      </c>
      <c r="K56" s="21"/>
    </row>
    <row r="57" customFormat="false" ht="15" hidden="false" customHeight="false" outlineLevel="0" collapsed="false">
      <c r="B57" s="14" t="s">
        <v>150</v>
      </c>
      <c r="C57" s="14" t="s">
        <v>151</v>
      </c>
      <c r="D57" s="22" t="n">
        <v>150</v>
      </c>
      <c r="E57" s="16" t="n">
        <f aca="false">IF(D57="","",D57/J57)</f>
        <v>0.585759026546599</v>
      </c>
      <c r="F57" s="17" t="s">
        <v>13</v>
      </c>
      <c r="G57" s="18" t="n">
        <f aca="false">1*INDEX(Parametros!$C$9:$F$50,MATCH("2B",Parametros!$B$9:$B$50,0),MATCH(Parametros!$C$5,Parametros!$C$8:$F$8,0))</f>
        <v>141.05</v>
      </c>
      <c r="H57" s="19" t="n">
        <v>3.86</v>
      </c>
      <c r="I57" s="18" t="n">
        <f aca="false">H57*Parametros!$C$4</f>
        <v>115.028</v>
      </c>
      <c r="J57" s="20" t="n">
        <f aca="false">G57+I57</f>
        <v>256.078</v>
      </c>
      <c r="K57" s="21"/>
    </row>
    <row r="58" customFormat="false" ht="15" hidden="false" customHeight="false" outlineLevel="0" collapsed="false">
      <c r="B58" s="14" t="s">
        <v>152</v>
      </c>
      <c r="C58" s="14" t="s">
        <v>153</v>
      </c>
      <c r="D58" s="22" t="n">
        <v>150</v>
      </c>
      <c r="E58" s="16" t="n">
        <f aca="false">IF(D58="","",D58/J58)</f>
        <v>0.618128471821583</v>
      </c>
      <c r="F58" s="17" t="s">
        <v>13</v>
      </c>
      <c r="G58" s="18" t="n">
        <f aca="false">1*INDEX(Parametros!$C$9:$F$50,MATCH("2B",Parametros!$B$9:$B$50,0),MATCH(Parametros!$C$5,Parametros!$C$8:$F$8,0))</f>
        <v>141.05</v>
      </c>
      <c r="H58" s="19" t="n">
        <v>3.41</v>
      </c>
      <c r="I58" s="18" t="n">
        <f aca="false">H58*Parametros!$C$4</f>
        <v>101.618</v>
      </c>
      <c r="J58" s="20" t="n">
        <f aca="false">G58+I58</f>
        <v>242.668</v>
      </c>
      <c r="K58" s="21"/>
    </row>
    <row r="59" customFormat="false" ht="15" hidden="false" customHeight="false" outlineLevel="0" collapsed="false">
      <c r="B59" s="14" t="s">
        <v>154</v>
      </c>
      <c r="C59" s="14" t="s">
        <v>155</v>
      </c>
      <c r="D59" s="22" t="n">
        <v>200</v>
      </c>
      <c r="E59" s="16" t="n">
        <f aca="false">IF(D59="","",D59/J59)</f>
        <v>0.503354860142852</v>
      </c>
      <c r="F59" s="17" t="s">
        <v>15</v>
      </c>
      <c r="G59" s="18" t="n">
        <f aca="false">1*INDEX(Parametros!$C$9:$F$50,MATCH("3A",Parametros!$B$9:$B$50,0),MATCH(Parametros!$C$5,Parametros!$C$8:$F$8,0))</f>
        <v>228.07</v>
      </c>
      <c r="H59" s="19" t="n">
        <v>5.68</v>
      </c>
      <c r="I59" s="18" t="n">
        <f aca="false">H59*Parametros!$C$4</f>
        <v>169.264</v>
      </c>
      <c r="J59" s="20" t="n">
        <f aca="false">G59+I59</f>
        <v>397.334</v>
      </c>
      <c r="K59" s="21"/>
    </row>
    <row r="60" customFormat="false" ht="15" hidden="false" customHeight="false" outlineLevel="0" collapsed="false">
      <c r="B60" s="14" t="s">
        <v>156</v>
      </c>
      <c r="C60" s="14" t="s">
        <v>157</v>
      </c>
      <c r="D60" s="22" t="n">
        <v>150</v>
      </c>
      <c r="E60" s="16" t="n">
        <f aca="false">IF(D60="","",D60/J60)</f>
        <v>0.617370331651342</v>
      </c>
      <c r="F60" s="17" t="s">
        <v>13</v>
      </c>
      <c r="G60" s="18" t="n">
        <f aca="false">1*INDEX(Parametros!$C$9:$F$50,MATCH("2B",Parametros!$B$9:$B$50,0),MATCH(Parametros!$C$5,Parametros!$C$8:$F$8,0))</f>
        <v>141.05</v>
      </c>
      <c r="H60" s="19" t="n">
        <v>3.42</v>
      </c>
      <c r="I60" s="18" t="n">
        <f aca="false">H60*Parametros!$C$4</f>
        <v>101.916</v>
      </c>
      <c r="J60" s="20" t="n">
        <f aca="false">G60+I60</f>
        <v>242.966</v>
      </c>
      <c r="K60" s="21"/>
    </row>
    <row r="61" customFormat="false" ht="15" hidden="false" customHeight="false" outlineLevel="0" collapsed="false">
      <c r="B61" s="14" t="s">
        <v>158</v>
      </c>
      <c r="C61" s="14" t="s">
        <v>159</v>
      </c>
      <c r="D61" s="22" t="n">
        <v>150</v>
      </c>
      <c r="E61" s="16" t="n">
        <f aca="false">IF(D61="","",D61/J61)</f>
        <v>0.717991920197591</v>
      </c>
      <c r="F61" s="17" t="s">
        <v>12</v>
      </c>
      <c r="G61" s="18" t="n">
        <f aca="false">1*INDEX(Parametros!$C$9:$F$50,MATCH("2A",Parametros!$B$9:$B$50,0),MATCH(Parametros!$C$5,Parametros!$C$8:$F$8,0))</f>
        <v>107</v>
      </c>
      <c r="H61" s="19" t="n">
        <v>3.42</v>
      </c>
      <c r="I61" s="18" t="n">
        <f aca="false">H61*Parametros!$C$4</f>
        <v>101.916</v>
      </c>
      <c r="J61" s="20" t="n">
        <f aca="false">G61+I61</f>
        <v>208.916</v>
      </c>
      <c r="K61" s="21"/>
    </row>
    <row r="62" customFormat="false" ht="15" hidden="false" customHeight="false" outlineLevel="0" collapsed="false">
      <c r="B62" s="14" t="s">
        <v>160</v>
      </c>
      <c r="C62" s="14" t="s">
        <v>161</v>
      </c>
      <c r="D62" s="22" t="n">
        <v>250</v>
      </c>
      <c r="E62" s="16" t="n">
        <f aca="false">IF(D62="","",D62/J62)</f>
        <v>0.388543861939487</v>
      </c>
      <c r="F62" s="17" t="s">
        <v>18</v>
      </c>
      <c r="G62" s="18" t="n">
        <f aca="false">1*INDEX(Parametros!$C$9:$F$50,MATCH("4A",Parametros!$B$9:$B$50,0),MATCH(Parametros!$C$5,Parametros!$C$8:$F$8,0))</f>
        <v>397.28</v>
      </c>
      <c r="H62" s="19" t="n">
        <v>8.26</v>
      </c>
      <c r="I62" s="18" t="n">
        <f aca="false">H62*Parametros!$C$4</f>
        <v>246.148</v>
      </c>
      <c r="J62" s="20" t="n">
        <f aca="false">G62+I62</f>
        <v>643.428</v>
      </c>
      <c r="K62" s="21"/>
    </row>
    <row r="63" customFormat="false" ht="15" hidden="false" customHeight="false" outlineLevel="0" collapsed="false">
      <c r="B63" s="14" t="s">
        <v>162</v>
      </c>
      <c r="C63" s="14" t="s">
        <v>163</v>
      </c>
      <c r="D63" s="15" t="n">
        <v>250</v>
      </c>
      <c r="E63" s="16" t="n">
        <f aca="false">IF(D63="","",D63/J63)</f>
        <v>0.293748560632053</v>
      </c>
      <c r="F63" s="17" t="s">
        <v>21</v>
      </c>
      <c r="G63" s="18" t="n">
        <f aca="false">1*INDEX(Parametros!$C$9:$F$50,MATCH("5A",Parametros!$B$9:$B$50,0),MATCH(Parametros!$C$5,Parametros!$C$8:$F$8,0))</f>
        <v>528.93</v>
      </c>
      <c r="H63" s="19" t="n">
        <v>10.81</v>
      </c>
      <c r="I63" s="18" t="n">
        <f aca="false">H63*Parametros!$C$4</f>
        <v>322.138</v>
      </c>
      <c r="J63" s="20" t="n">
        <f aca="false">G63+I63</f>
        <v>851.068</v>
      </c>
      <c r="K63" s="21" t="s">
        <v>66</v>
      </c>
    </row>
    <row r="64" customFormat="false" ht="15" hidden="false" customHeight="false" outlineLevel="0" collapsed="false">
      <c r="B64" s="14" t="s">
        <v>164</v>
      </c>
      <c r="C64" s="14" t="s">
        <v>165</v>
      </c>
      <c r="D64" s="15" t="n">
        <v>250</v>
      </c>
      <c r="E64" s="16" t="n">
        <f aca="false">IF(D64="","",D64/J64)</f>
        <v>0.322548182247464</v>
      </c>
      <c r="F64" s="17" t="s">
        <v>21</v>
      </c>
      <c r="G64" s="18" t="n">
        <f aca="false">1*INDEX(Parametros!$C$9:$F$50,MATCH("5A",Parametros!$B$9:$B$50,0),MATCH(Parametros!$C$5,Parametros!$C$8:$F$8,0))</f>
        <v>528.93</v>
      </c>
      <c r="H64" s="19" t="n">
        <v>8.26</v>
      </c>
      <c r="I64" s="18" t="n">
        <f aca="false">H64*Parametros!$C$4</f>
        <v>246.148</v>
      </c>
      <c r="J64" s="20" t="n">
        <f aca="false">G64+I64</f>
        <v>775.078</v>
      </c>
      <c r="K64" s="21" t="s">
        <v>66</v>
      </c>
    </row>
    <row r="65" customFormat="false" ht="15" hidden="false" customHeight="false" outlineLevel="0" collapsed="false">
      <c r="B65" s="14" t="s">
        <v>166</v>
      </c>
      <c r="C65" s="14" t="s">
        <v>167</v>
      </c>
      <c r="D65" s="22" t="n">
        <v>250</v>
      </c>
      <c r="E65" s="16" t="n">
        <f aca="false">IF(D65="","",D65/J65)</f>
        <v>0.43106569786088</v>
      </c>
      <c r="F65" s="17" t="s">
        <v>17</v>
      </c>
      <c r="G65" s="18" t="n">
        <f aca="false">1*INDEX(Parametros!$C$9:$F$50,MATCH("3C",Parametros!$B$9:$B$50,0),MATCH(Parametros!$C$5,Parametros!$C$8:$F$8,0))</f>
        <v>333.81</v>
      </c>
      <c r="H65" s="19" t="n">
        <v>8.26</v>
      </c>
      <c r="I65" s="18" t="n">
        <f aca="false">H65*Parametros!$C$4</f>
        <v>246.148</v>
      </c>
      <c r="J65" s="20" t="n">
        <f aca="false">G65+I65</f>
        <v>579.958</v>
      </c>
      <c r="K65" s="21"/>
    </row>
    <row r="66" customFormat="false" ht="15" hidden="false" customHeight="false" outlineLevel="0" collapsed="false">
      <c r="B66" s="14"/>
      <c r="C66" s="14" t="s">
        <v>168</v>
      </c>
      <c r="D66" s="15" t="n">
        <v>250</v>
      </c>
      <c r="E66" s="14"/>
      <c r="F66" s="14"/>
      <c r="G66" s="14"/>
      <c r="H66" s="14"/>
      <c r="I66" s="14"/>
      <c r="J66" s="14"/>
      <c r="K66" s="21" t="s">
        <v>169</v>
      </c>
    </row>
    <row r="68" customFormat="false" ht="15" hidden="false" customHeight="false" outlineLevel="0" collapsed="false">
      <c r="B68" s="11" t="s">
        <v>170</v>
      </c>
      <c r="C68" s="12"/>
      <c r="D68" s="12"/>
      <c r="E68" s="12"/>
      <c r="F68" s="12"/>
      <c r="G68" s="12"/>
      <c r="H68" s="12"/>
      <c r="I68" s="12"/>
      <c r="J68" s="12"/>
      <c r="K68" s="12"/>
    </row>
    <row r="69" customFormat="false" ht="22.35" hidden="false" customHeight="false" outlineLevel="0" collapsed="false">
      <c r="B69" s="13" t="s">
        <v>55</v>
      </c>
      <c r="C69" s="13" t="s">
        <v>56</v>
      </c>
      <c r="D69" s="13" t="s">
        <v>57</v>
      </c>
      <c r="E69" s="13" t="s">
        <v>58</v>
      </c>
      <c r="F69" s="13" t="s">
        <v>5</v>
      </c>
      <c r="G69" s="13" t="s">
        <v>59</v>
      </c>
      <c r="H69" s="13" t="s">
        <v>60</v>
      </c>
      <c r="I69" s="13" t="s">
        <v>61</v>
      </c>
      <c r="J69" s="13" t="s">
        <v>62</v>
      </c>
      <c r="K69" s="13" t="s">
        <v>63</v>
      </c>
    </row>
    <row r="70" customFormat="false" ht="15" hidden="false" customHeight="false" outlineLevel="0" collapsed="false">
      <c r="B70" s="14" t="s">
        <v>171</v>
      </c>
      <c r="C70" s="14" t="s">
        <v>172</v>
      </c>
      <c r="D70" s="22" t="n">
        <v>150</v>
      </c>
      <c r="E70" s="16" t="n">
        <f aca="false">IF(D70="","",D70/J70)</f>
        <v>0.322858372793801</v>
      </c>
      <c r="F70" s="17" t="s">
        <v>12</v>
      </c>
      <c r="G70" s="18" t="n">
        <f aca="false">1*INDEX(Parametros!$C$9:$F$50,MATCH("2A",Parametros!$B$9:$B$50,0),MATCH(Parametros!$C$5,Parametros!$C$8:$F$8,0))</f>
        <v>107</v>
      </c>
      <c r="H70" s="19" t="n">
        <v>12</v>
      </c>
      <c r="I70" s="18" t="n">
        <f aca="false">H70*Parametros!$C$4</f>
        <v>357.6</v>
      </c>
      <c r="J70" s="20" t="n">
        <f aca="false">G70+I70</f>
        <v>464.6</v>
      </c>
      <c r="K70" s="21"/>
    </row>
    <row r="71" customFormat="false" ht="15" hidden="false" customHeight="false" outlineLevel="0" collapsed="false">
      <c r="B71" s="14" t="s">
        <v>173</v>
      </c>
      <c r="C71" s="14" t="s">
        <v>174</v>
      </c>
      <c r="D71" s="22" t="n">
        <v>150</v>
      </c>
      <c r="E71" s="16" t="n">
        <f aca="false">IF(D71="","",D71/J71)</f>
        <v>0.322858372793801</v>
      </c>
      <c r="F71" s="17" t="s">
        <v>12</v>
      </c>
      <c r="G71" s="18" t="n">
        <f aca="false">1*INDEX(Parametros!$C$9:$F$50,MATCH("2A",Parametros!$B$9:$B$50,0),MATCH(Parametros!$C$5,Parametros!$C$8:$F$8,0))</f>
        <v>107</v>
      </c>
      <c r="H71" s="19" t="n">
        <v>12</v>
      </c>
      <c r="I71" s="18" t="n">
        <f aca="false">H71*Parametros!$C$4</f>
        <v>357.6</v>
      </c>
      <c r="J71" s="20" t="n">
        <f aca="false">G71+I71</f>
        <v>464.6</v>
      </c>
      <c r="K71" s="21"/>
    </row>
    <row r="72" customFormat="false" ht="15" hidden="false" customHeight="false" outlineLevel="0" collapsed="false">
      <c r="B72" s="14" t="s">
        <v>175</v>
      </c>
      <c r="C72" s="14" t="s">
        <v>176</v>
      </c>
      <c r="D72" s="22" t="n">
        <v>150</v>
      </c>
      <c r="E72" s="16" t="n">
        <f aca="false">IF(D72="","",D72/J72)</f>
        <v>0.430564326310351</v>
      </c>
      <c r="F72" s="17" t="s">
        <v>12</v>
      </c>
      <c r="G72" s="18" t="n">
        <f aca="false">1*INDEX(Parametros!$C$9:$F$50,MATCH("2A",Parametros!$B$9:$B$50,0),MATCH(Parametros!$C$5,Parametros!$C$8:$F$8,0))</f>
        <v>107</v>
      </c>
      <c r="H72" s="19" t="n">
        <v>8.1</v>
      </c>
      <c r="I72" s="18" t="n">
        <f aca="false">H72*Parametros!$C$4</f>
        <v>241.38</v>
      </c>
      <c r="J72" s="20" t="n">
        <f aca="false">G72+I72</f>
        <v>348.38</v>
      </c>
      <c r="K72" s="21"/>
    </row>
    <row r="73" customFormat="false" ht="15" hidden="false" customHeight="false" outlineLevel="0" collapsed="false">
      <c r="B73" s="14" t="s">
        <v>177</v>
      </c>
      <c r="C73" s="14" t="s">
        <v>178</v>
      </c>
      <c r="D73" s="22" t="n">
        <v>50</v>
      </c>
      <c r="E73" s="16" t="n">
        <f aca="false">IF(D73="","",D73/J73)</f>
        <v>0.659369642621654</v>
      </c>
      <c r="F73" s="17" t="s">
        <v>10</v>
      </c>
      <c r="G73" s="18" t="n">
        <f aca="false">1*INDEX(Parametros!$C$9:$F$50,MATCH("1B",Parametros!$B$9:$B$50,0),MATCH(Parametros!$C$5,Parametros!$C$8:$F$8,0))</f>
        <v>53.48</v>
      </c>
      <c r="H73" s="19" t="n">
        <v>0.75</v>
      </c>
      <c r="I73" s="18" t="n">
        <f aca="false">H73*Parametros!$C$4</f>
        <v>22.35</v>
      </c>
      <c r="J73" s="20" t="n">
        <f aca="false">G73+I73</f>
        <v>75.83</v>
      </c>
      <c r="K73" s="21"/>
    </row>
    <row r="74" customFormat="false" ht="15" hidden="false" customHeight="false" outlineLevel="0" collapsed="false">
      <c r="B74" s="14" t="s">
        <v>179</v>
      </c>
      <c r="C74" s="14" t="s">
        <v>180</v>
      </c>
      <c r="D74" s="22" t="n">
        <v>200</v>
      </c>
      <c r="E74" s="16" t="n">
        <f aca="false">IF(D74="","",D74/J74)</f>
        <v>0.205976787239985</v>
      </c>
      <c r="F74" s="17" t="s">
        <v>21</v>
      </c>
      <c r="G74" s="18" t="n">
        <f aca="false">1*INDEX(Parametros!$C$9:$F$50,MATCH("5A",Parametros!$B$9:$B$50,0),MATCH(Parametros!$C$5,Parametros!$C$8:$F$8,0))</f>
        <v>528.93</v>
      </c>
      <c r="H74" s="19" t="n">
        <v>14.834</v>
      </c>
      <c r="I74" s="18" t="n">
        <f aca="false">H74*Parametros!$C$4</f>
        <v>442.0532</v>
      </c>
      <c r="J74" s="20" t="n">
        <f aca="false">G74+I74</f>
        <v>970.9832</v>
      </c>
      <c r="K74" s="21" t="s">
        <v>181</v>
      </c>
    </row>
    <row r="75" customFormat="false" ht="15" hidden="false" customHeight="false" outlineLevel="0" collapsed="false">
      <c r="B75" s="14" t="s">
        <v>182</v>
      </c>
      <c r="C75" s="14" t="s">
        <v>183</v>
      </c>
      <c r="D75" s="22" t="n">
        <v>350</v>
      </c>
      <c r="E75" s="16" t="n">
        <f aca="false">IF(D75="","",D75/J75)</f>
        <v>0.273690278630779</v>
      </c>
      <c r="F75" s="17" t="s">
        <v>23</v>
      </c>
      <c r="G75" s="18" t="n">
        <f aca="false">1*INDEX(Parametros!$C$9:$F$50,MATCH("5C",Parametros!$B$9:$B$50,0),MATCH(Parametros!$C$5,Parametros!$C$8:$F$8,0))</f>
        <v>606.5</v>
      </c>
      <c r="H75" s="19" t="n">
        <v>22.561</v>
      </c>
      <c r="I75" s="18" t="n">
        <f aca="false">H75*Parametros!$C$4</f>
        <v>672.3178</v>
      </c>
      <c r="J75" s="20" t="n">
        <f aca="false">G75+I75</f>
        <v>1278.8178</v>
      </c>
      <c r="K75" s="21" t="s">
        <v>184</v>
      </c>
    </row>
    <row r="76" customFormat="false" ht="15" hidden="false" customHeight="false" outlineLevel="0" collapsed="false">
      <c r="B76" s="14" t="s">
        <v>185</v>
      </c>
      <c r="C76" s="14" t="s">
        <v>186</v>
      </c>
      <c r="D76" s="22" t="n">
        <v>150</v>
      </c>
      <c r="E76" s="16" t="n">
        <f aca="false">IF(D76="","",D76/J76)</f>
        <v>0.576368876080692</v>
      </c>
      <c r="F76" s="17" t="s">
        <v>13</v>
      </c>
      <c r="G76" s="18" t="n">
        <f aca="false">1*INDEX(Parametros!$C$9:$F$50,MATCH("2B",Parametros!$B$9:$B$50,0),MATCH(Parametros!$C$5,Parametros!$C$8:$F$8,0))</f>
        <v>141.05</v>
      </c>
      <c r="H76" s="19" t="n">
        <v>4</v>
      </c>
      <c r="I76" s="18" t="n">
        <f aca="false">H76*Parametros!$C$4</f>
        <v>119.2</v>
      </c>
      <c r="J76" s="20" t="n">
        <f aca="false">G76+I76</f>
        <v>260.25</v>
      </c>
      <c r="K76" s="21"/>
    </row>
    <row r="77" customFormat="false" ht="15" hidden="false" customHeight="false" outlineLevel="0" collapsed="false">
      <c r="B77" s="14" t="s">
        <v>187</v>
      </c>
      <c r="C77" s="14" t="s">
        <v>188</v>
      </c>
      <c r="D77" s="22"/>
      <c r="E77" s="16" t="str">
        <f aca="false">IF(D77="","",D77/J77)</f>
        <v/>
      </c>
      <c r="F77" s="17" t="s">
        <v>16</v>
      </c>
      <c r="G77" s="18" t="n">
        <f aca="false">1*INDEX(Parametros!$C$9:$F$50,MATCH("3B",Parametros!$B$9:$B$50,0),MATCH(Parametros!$C$5,Parametros!$C$8:$F$8,0))</f>
        <v>291.5</v>
      </c>
      <c r="H77" s="19" t="n">
        <v>11</v>
      </c>
      <c r="I77" s="18" t="n">
        <f aca="false">H77*Parametros!$C$4</f>
        <v>327.8</v>
      </c>
      <c r="J77" s="20" t="n">
        <f aca="false">G77+I77</f>
        <v>619.3</v>
      </c>
      <c r="K77" s="21" t="s">
        <v>189</v>
      </c>
    </row>
    <row r="78" customFormat="false" ht="15" hidden="false" customHeight="false" outlineLevel="0" collapsed="false">
      <c r="B78" s="14"/>
      <c r="C78" s="14" t="s">
        <v>190</v>
      </c>
      <c r="D78" s="22" t="n">
        <v>250</v>
      </c>
      <c r="E78" s="14"/>
      <c r="F78" s="14"/>
      <c r="G78" s="14"/>
      <c r="H78" s="14"/>
      <c r="I78" s="14"/>
      <c r="J78" s="14"/>
      <c r="K78" s="21" t="s">
        <v>191</v>
      </c>
    </row>
    <row r="80" customFormat="false" ht="15" hidden="false" customHeight="false" outlineLevel="0" collapsed="false">
      <c r="B80" s="11" t="s">
        <v>192</v>
      </c>
      <c r="C80" s="12"/>
      <c r="D80" s="12"/>
      <c r="E80" s="12"/>
      <c r="F80" s="12"/>
      <c r="G80" s="12"/>
      <c r="H80" s="12"/>
      <c r="I80" s="12"/>
      <c r="J80" s="12"/>
      <c r="K80" s="12"/>
    </row>
    <row r="81" customFormat="false" ht="22.35" hidden="false" customHeight="false" outlineLevel="0" collapsed="false">
      <c r="B81" s="13" t="s">
        <v>55</v>
      </c>
      <c r="C81" s="13" t="s">
        <v>56</v>
      </c>
      <c r="D81" s="13" t="s">
        <v>57</v>
      </c>
      <c r="E81" s="13" t="s">
        <v>58</v>
      </c>
      <c r="F81" s="13" t="s">
        <v>5</v>
      </c>
      <c r="G81" s="13" t="s">
        <v>59</v>
      </c>
      <c r="H81" s="13" t="s">
        <v>60</v>
      </c>
      <c r="I81" s="13" t="s">
        <v>61</v>
      </c>
      <c r="J81" s="13" t="s">
        <v>62</v>
      </c>
      <c r="K81" s="13" t="s">
        <v>63</v>
      </c>
    </row>
    <row r="82" customFormat="false" ht="15" hidden="false" customHeight="false" outlineLevel="0" collapsed="false">
      <c r="B82" s="14" t="s">
        <v>193</v>
      </c>
      <c r="C82" s="14" t="s">
        <v>194</v>
      </c>
      <c r="D82" s="22" t="n">
        <v>25</v>
      </c>
      <c r="E82" s="16" t="n">
        <f aca="false">IF(D82="","",D82/J82)</f>
        <v>0.954438904456848</v>
      </c>
      <c r="F82" s="17" t="s">
        <v>195</v>
      </c>
      <c r="G82" s="18" t="n">
        <f aca="false">0.01*INDEX(Parametros!$C$9:$F$50,MATCH("1A",Parametros!$B$9:$B$50,0),MATCH(Parametros!$C$5,Parametros!$C$8:$F$8,0))</f>
        <v>0.2674</v>
      </c>
      <c r="H82" s="19" t="n">
        <v>0.87</v>
      </c>
      <c r="I82" s="18" t="n">
        <f aca="false">H82*Parametros!$C$4</f>
        <v>25.926</v>
      </c>
      <c r="J82" s="20" t="n">
        <f aca="false">G82+I82</f>
        <v>26.1934</v>
      </c>
      <c r="K82" s="21"/>
    </row>
    <row r="83" customFormat="false" ht="15" hidden="false" customHeight="false" outlineLevel="0" collapsed="false">
      <c r="B83" s="14" t="s">
        <v>196</v>
      </c>
      <c r="C83" s="14" t="s">
        <v>197</v>
      </c>
      <c r="D83" s="22" t="n">
        <v>15</v>
      </c>
      <c r="E83" s="16" t="n">
        <f aca="false">IF(D83="","",D83/J83)</f>
        <v>1.27118644067797</v>
      </c>
      <c r="F83" s="17" t="s">
        <v>195</v>
      </c>
      <c r="G83" s="18" t="n">
        <f aca="false">0.01*INDEX(Parametros!$C$9:$F$50,MATCH("1A",Parametros!$B$9:$B$50,0),MATCH(Parametros!$C$5,Parametros!$C$8:$F$8,0))</f>
        <v>0.2674</v>
      </c>
      <c r="H83" s="19" t="n">
        <v>0.387</v>
      </c>
      <c r="I83" s="18" t="n">
        <f aca="false">H83*Parametros!$C$4</f>
        <v>11.5326</v>
      </c>
      <c r="J83" s="20" t="n">
        <f aca="false">G83+I83</f>
        <v>11.8</v>
      </c>
      <c r="K83" s="21"/>
    </row>
    <row r="84" customFormat="false" ht="15" hidden="false" customHeight="false" outlineLevel="0" collapsed="false">
      <c r="B84" s="14" t="s">
        <v>198</v>
      </c>
      <c r="C84" s="14" t="s">
        <v>199</v>
      </c>
      <c r="D84" s="22" t="n">
        <v>35</v>
      </c>
      <c r="E84" s="16" t="n">
        <f aca="false">IF(D84="","",D84/J84)</f>
        <v>0.349892932762575</v>
      </c>
      <c r="F84" s="17" t="s">
        <v>200</v>
      </c>
      <c r="G84" s="18" t="n">
        <f aca="false">0.1*INDEX(Parametros!$C$9:$F$50,MATCH("1A",Parametros!$B$9:$B$50,0),MATCH(Parametros!$C$5,Parametros!$C$8:$F$8,0))</f>
        <v>2.674</v>
      </c>
      <c r="H84" s="19" t="n">
        <v>3.267</v>
      </c>
      <c r="I84" s="18" t="n">
        <f aca="false">H84*Parametros!$C$4</f>
        <v>97.3566</v>
      </c>
      <c r="J84" s="20" t="n">
        <f aca="false">G84+I84</f>
        <v>100.0306</v>
      </c>
      <c r="K84" s="21"/>
    </row>
    <row r="85" customFormat="false" ht="15" hidden="false" customHeight="false" outlineLevel="0" collapsed="false">
      <c r="B85" s="14" t="s">
        <v>201</v>
      </c>
      <c r="C85" s="14" t="s">
        <v>202</v>
      </c>
      <c r="D85" s="22" t="n">
        <v>20</v>
      </c>
      <c r="E85" s="16" t="n">
        <f aca="false">IF(D85="","",D85/J85)</f>
        <v>1.69491525423729</v>
      </c>
      <c r="F85" s="17" t="s">
        <v>195</v>
      </c>
      <c r="G85" s="18" t="n">
        <f aca="false">0.01*INDEX(Parametros!$C$9:$F$50,MATCH("1A",Parametros!$B$9:$B$50,0),MATCH(Parametros!$C$5,Parametros!$C$8:$F$8,0))</f>
        <v>0.2674</v>
      </c>
      <c r="H85" s="19" t="n">
        <v>0.387</v>
      </c>
      <c r="I85" s="18" t="n">
        <f aca="false">H85*Parametros!$C$4</f>
        <v>11.5326</v>
      </c>
      <c r="J85" s="20" t="n">
        <f aca="false">G85+I85</f>
        <v>11.8</v>
      </c>
      <c r="K85" s="21"/>
    </row>
    <row r="86" customFormat="false" ht="15" hidden="false" customHeight="false" outlineLevel="0" collapsed="false">
      <c r="B86" s="14" t="s">
        <v>203</v>
      </c>
      <c r="C86" s="14" t="s">
        <v>204</v>
      </c>
      <c r="D86" s="22" t="n">
        <v>20</v>
      </c>
      <c r="E86" s="16" t="n">
        <f aca="false">IF(D86="","",D86/J86)</f>
        <v>1.22253872391408</v>
      </c>
      <c r="F86" s="17" t="s">
        <v>195</v>
      </c>
      <c r="G86" s="18" t="n">
        <f aca="false">0.01*INDEX(Parametros!$C$9:$F$50,MATCH("1A",Parametros!$B$9:$B$50,0),MATCH(Parametros!$C$5,Parametros!$C$8:$F$8,0))</f>
        <v>0.2674</v>
      </c>
      <c r="H86" s="19" t="n">
        <v>0.54</v>
      </c>
      <c r="I86" s="18" t="n">
        <f aca="false">H86*Parametros!$C$4</f>
        <v>16.092</v>
      </c>
      <c r="J86" s="20" t="n">
        <f aca="false">G86+I86</f>
        <v>16.3594</v>
      </c>
      <c r="K86" s="21"/>
    </row>
    <row r="87" customFormat="false" ht="15" hidden="false" customHeight="false" outlineLevel="0" collapsed="false">
      <c r="B87" s="14" t="s">
        <v>205</v>
      </c>
      <c r="C87" s="14" t="s">
        <v>206</v>
      </c>
      <c r="D87" s="22" t="n">
        <v>20</v>
      </c>
      <c r="E87" s="16" t="n">
        <f aca="false">IF(D87="","",D87/J87)</f>
        <v>0.92066619405802</v>
      </c>
      <c r="F87" s="17" t="s">
        <v>195</v>
      </c>
      <c r="G87" s="18" t="n">
        <f aca="false">0.01*INDEX(Parametros!$C$9:$F$50,MATCH("1A",Parametros!$B$9:$B$50,0),MATCH(Parametros!$C$5,Parametros!$C$8:$F$8,0))</f>
        <v>0.2674</v>
      </c>
      <c r="H87" s="19" t="n">
        <v>0.72</v>
      </c>
      <c r="I87" s="18" t="n">
        <f aca="false">H87*Parametros!$C$4</f>
        <v>21.456</v>
      </c>
      <c r="J87" s="20" t="n">
        <f aca="false">G87+I87</f>
        <v>21.7234</v>
      </c>
      <c r="K87" s="21"/>
    </row>
    <row r="88" customFormat="false" ht="15" hidden="false" customHeight="false" outlineLevel="0" collapsed="false">
      <c r="B88" s="14" t="s">
        <v>207</v>
      </c>
      <c r="C88" s="14" t="s">
        <v>208</v>
      </c>
      <c r="D88" s="22" t="n">
        <v>60</v>
      </c>
      <c r="E88" s="16" t="n">
        <f aca="false">IF(D88="","",D88/J88)</f>
        <v>0.599816456164414</v>
      </c>
      <c r="F88" s="17" t="s">
        <v>200</v>
      </c>
      <c r="G88" s="18" t="n">
        <f aca="false">0.1*INDEX(Parametros!$C$9:$F$50,MATCH("1A",Parametros!$B$9:$B$50,0),MATCH(Parametros!$C$5,Parametros!$C$8:$F$8,0))</f>
        <v>2.674</v>
      </c>
      <c r="H88" s="19" t="n">
        <v>3.267</v>
      </c>
      <c r="I88" s="18" t="n">
        <f aca="false">H88*Parametros!$C$4</f>
        <v>97.3566</v>
      </c>
      <c r="J88" s="20" t="n">
        <f aca="false">G88+I88</f>
        <v>100.0306</v>
      </c>
      <c r="K88" s="21"/>
    </row>
    <row r="89" customFormat="false" ht="15" hidden="false" customHeight="false" outlineLevel="0" collapsed="false">
      <c r="B89" s="14" t="s">
        <v>209</v>
      </c>
      <c r="C89" s="14" t="s">
        <v>210</v>
      </c>
      <c r="D89" s="22" t="n">
        <v>20</v>
      </c>
      <c r="E89" s="16" t="n">
        <f aca="false">IF(D89="","",D89/J89)</f>
        <v>1.22253872391408</v>
      </c>
      <c r="F89" s="17" t="s">
        <v>195</v>
      </c>
      <c r="G89" s="18" t="n">
        <f aca="false">0.01*INDEX(Parametros!$C$9:$F$50,MATCH("1A",Parametros!$B$9:$B$50,0),MATCH(Parametros!$C$5,Parametros!$C$8:$F$8,0))</f>
        <v>0.2674</v>
      </c>
      <c r="H89" s="19" t="n">
        <v>0.54</v>
      </c>
      <c r="I89" s="18" t="n">
        <f aca="false">H89*Parametros!$C$4</f>
        <v>16.092</v>
      </c>
      <c r="J89" s="20" t="n">
        <f aca="false">G89+I89</f>
        <v>16.3594</v>
      </c>
      <c r="K89" s="21"/>
    </row>
    <row r="90" customFormat="false" ht="15" hidden="false" customHeight="false" outlineLevel="0" collapsed="false">
      <c r="B90" s="14" t="s">
        <v>211</v>
      </c>
      <c r="C90" s="14" t="s">
        <v>212</v>
      </c>
      <c r="D90" s="22" t="n">
        <v>15</v>
      </c>
      <c r="E90" s="16" t="n">
        <f aca="false">IF(D90="","",D90/J90)</f>
        <v>0.690499645543515</v>
      </c>
      <c r="F90" s="17" t="s">
        <v>195</v>
      </c>
      <c r="G90" s="18" t="n">
        <f aca="false">0.01*INDEX(Parametros!$C$9:$F$50,MATCH("1A",Parametros!$B$9:$B$50,0),MATCH(Parametros!$C$5,Parametros!$C$8:$F$8,0))</f>
        <v>0.2674</v>
      </c>
      <c r="H90" s="19" t="n">
        <v>0.72</v>
      </c>
      <c r="I90" s="18" t="n">
        <f aca="false">H90*Parametros!$C$4</f>
        <v>21.456</v>
      </c>
      <c r="J90" s="20" t="n">
        <f aca="false">G90+I90</f>
        <v>21.7234</v>
      </c>
      <c r="K90" s="21"/>
    </row>
    <row r="91" customFormat="false" ht="15" hidden="false" customHeight="false" outlineLevel="0" collapsed="false">
      <c r="B91" s="14" t="s">
        <v>213</v>
      </c>
      <c r="C91" s="14" t="s">
        <v>214</v>
      </c>
      <c r="D91" s="22" t="n">
        <v>15</v>
      </c>
      <c r="E91" s="16" t="n">
        <f aca="false">IF(D91="","",D91/J91)</f>
        <v>0.690499645543515</v>
      </c>
      <c r="F91" s="17" t="s">
        <v>195</v>
      </c>
      <c r="G91" s="18" t="n">
        <f aca="false">0.01*INDEX(Parametros!$C$9:$F$50,MATCH("1A",Parametros!$B$9:$B$50,0),MATCH(Parametros!$C$5,Parametros!$C$8:$F$8,0))</f>
        <v>0.2674</v>
      </c>
      <c r="H91" s="19" t="n">
        <v>0.72</v>
      </c>
      <c r="I91" s="18" t="n">
        <f aca="false">H91*Parametros!$C$4</f>
        <v>21.456</v>
      </c>
      <c r="J91" s="20" t="n">
        <f aca="false">G91+I91</f>
        <v>21.7234</v>
      </c>
      <c r="K91" s="21"/>
    </row>
    <row r="92" customFormat="false" ht="15" hidden="false" customHeight="false" outlineLevel="0" collapsed="false">
      <c r="B92" s="14" t="s">
        <v>215</v>
      </c>
      <c r="C92" s="14" t="s">
        <v>216</v>
      </c>
      <c r="D92" s="22" t="n">
        <v>15</v>
      </c>
      <c r="E92" s="16" t="n">
        <f aca="false">IF(D92="","",D92/J92)</f>
        <v>1.27118644067797</v>
      </c>
      <c r="F92" s="17" t="s">
        <v>195</v>
      </c>
      <c r="G92" s="18" t="n">
        <f aca="false">0.01*INDEX(Parametros!$C$9:$F$50,MATCH("1A",Parametros!$B$9:$B$50,0),MATCH(Parametros!$C$5,Parametros!$C$8:$F$8,0))</f>
        <v>0.2674</v>
      </c>
      <c r="H92" s="19" t="n">
        <v>0.387</v>
      </c>
      <c r="I92" s="18" t="n">
        <f aca="false">H92*Parametros!$C$4</f>
        <v>11.5326</v>
      </c>
      <c r="J92" s="20" t="n">
        <f aca="false">G92+I92</f>
        <v>11.8</v>
      </c>
      <c r="K92" s="21"/>
    </row>
    <row r="93" customFormat="false" ht="15" hidden="false" customHeight="false" outlineLevel="0" collapsed="false">
      <c r="B93" s="14" t="s">
        <v>217</v>
      </c>
      <c r="C93" s="14" t="s">
        <v>218</v>
      </c>
      <c r="D93" s="22" t="n">
        <v>15</v>
      </c>
      <c r="E93" s="16" t="n">
        <f aca="false">IF(D93="","",D93/J93)</f>
        <v>1.27118644067797</v>
      </c>
      <c r="F93" s="17" t="s">
        <v>195</v>
      </c>
      <c r="G93" s="18" t="n">
        <f aca="false">0.01*INDEX(Parametros!$C$9:$F$50,MATCH("1A",Parametros!$B$9:$B$50,0),MATCH(Parametros!$C$5,Parametros!$C$8:$F$8,0))</f>
        <v>0.2674</v>
      </c>
      <c r="H93" s="19" t="n">
        <v>0.387</v>
      </c>
      <c r="I93" s="18" t="n">
        <f aca="false">H93*Parametros!$C$4</f>
        <v>11.5326</v>
      </c>
      <c r="J93" s="20" t="n">
        <f aca="false">G93+I93</f>
        <v>11.8</v>
      </c>
      <c r="K93" s="21"/>
    </row>
    <row r="94" customFormat="false" ht="15" hidden="false" customHeight="false" outlineLevel="0" collapsed="false">
      <c r="B94" s="14" t="s">
        <v>219</v>
      </c>
      <c r="C94" s="14" t="s">
        <v>220</v>
      </c>
      <c r="D94" s="22" t="n">
        <v>20</v>
      </c>
      <c r="E94" s="16" t="n">
        <f aca="false">IF(D94="","",D94/J94)</f>
        <v>1.69491525423729</v>
      </c>
      <c r="F94" s="17" t="s">
        <v>195</v>
      </c>
      <c r="G94" s="18" t="n">
        <f aca="false">0.01*INDEX(Parametros!$C$9:$F$50,MATCH("1A",Parametros!$B$9:$B$50,0),MATCH(Parametros!$C$5,Parametros!$C$8:$F$8,0))</f>
        <v>0.2674</v>
      </c>
      <c r="H94" s="19" t="n">
        <v>0.387</v>
      </c>
      <c r="I94" s="18" t="n">
        <f aca="false">H94*Parametros!$C$4</f>
        <v>11.5326</v>
      </c>
      <c r="J94" s="20" t="n">
        <f aca="false">G94+I94</f>
        <v>11.8</v>
      </c>
      <c r="K94" s="21"/>
    </row>
    <row r="95" customFormat="false" ht="15" hidden="false" customHeight="false" outlineLevel="0" collapsed="false">
      <c r="B95" s="14" t="s">
        <v>221</v>
      </c>
      <c r="C95" s="14" t="s">
        <v>222</v>
      </c>
      <c r="D95" s="22" t="n">
        <v>45</v>
      </c>
      <c r="E95" s="16" t="n">
        <f aca="false">IF(D95="","",D95/J95)</f>
        <v>0.736627750895412</v>
      </c>
      <c r="F95" s="17" t="s">
        <v>195</v>
      </c>
      <c r="G95" s="18" t="n">
        <f aca="false">0.01*INDEX(Parametros!$C$9:$F$50,MATCH("1A",Parametros!$B$9:$B$50,0),MATCH(Parametros!$C$5,Parametros!$C$8:$F$8,0))</f>
        <v>0.2674</v>
      </c>
      <c r="H95" s="19" t="n">
        <v>2.041</v>
      </c>
      <c r="I95" s="18" t="n">
        <f aca="false">H95*Parametros!$C$4</f>
        <v>60.8218</v>
      </c>
      <c r="J95" s="20" t="n">
        <f aca="false">G95+I95</f>
        <v>61.0892</v>
      </c>
      <c r="K95" s="21"/>
    </row>
    <row r="96" customFormat="false" ht="15" hidden="false" customHeight="false" outlineLevel="0" collapsed="false">
      <c r="B96" s="14" t="s">
        <v>223</v>
      </c>
      <c r="C96" s="14" t="s">
        <v>224</v>
      </c>
      <c r="D96" s="22" t="n">
        <v>40</v>
      </c>
      <c r="E96" s="16" t="n">
        <f aca="false">IF(D96="","",D96/J96)</f>
        <v>0.523925036805734</v>
      </c>
      <c r="F96" s="17" t="s">
        <v>195</v>
      </c>
      <c r="G96" s="18" t="n">
        <f aca="false">0.01*INDEX(Parametros!$C$9:$F$50,MATCH("1A",Parametros!$B$9:$B$50,0),MATCH(Parametros!$C$5,Parametros!$C$8:$F$8,0))</f>
        <v>0.2674</v>
      </c>
      <c r="H96" s="19" t="n">
        <v>2.553</v>
      </c>
      <c r="I96" s="18" t="n">
        <f aca="false">H96*Parametros!$C$4</f>
        <v>76.0794</v>
      </c>
      <c r="J96" s="20" t="n">
        <f aca="false">G96+I96</f>
        <v>76.3468</v>
      </c>
      <c r="K96" s="21"/>
    </row>
    <row r="97" customFormat="false" ht="15" hidden="false" customHeight="false" outlineLevel="0" collapsed="false">
      <c r="B97" s="14" t="s">
        <v>225</v>
      </c>
      <c r="C97" s="14" t="s">
        <v>226</v>
      </c>
      <c r="D97" s="22" t="n">
        <v>50</v>
      </c>
      <c r="E97" s="16" t="n">
        <f aca="false">IF(D97="","",D97/J97)</f>
        <v>0.680423931326174</v>
      </c>
      <c r="F97" s="17" t="s">
        <v>227</v>
      </c>
      <c r="G97" s="18" t="n">
        <f aca="false">0.04*INDEX(Parametros!$C$9:$F$50,MATCH("1A",Parametros!$B$9:$B$50,0),MATCH(Parametros!$C$5,Parametros!$C$8:$F$8,0))</f>
        <v>1.0696</v>
      </c>
      <c r="H97" s="19" t="n">
        <v>2.43</v>
      </c>
      <c r="I97" s="18" t="n">
        <f aca="false">H97*Parametros!$C$4</f>
        <v>72.414</v>
      </c>
      <c r="J97" s="20" t="n">
        <f aca="false">G97+I97</f>
        <v>73.4836</v>
      </c>
      <c r="K97" s="21"/>
    </row>
    <row r="98" customFormat="false" ht="15" hidden="false" customHeight="false" outlineLevel="0" collapsed="false">
      <c r="B98" s="14" t="s">
        <v>228</v>
      </c>
      <c r="C98" s="14" t="s">
        <v>229</v>
      </c>
      <c r="D98" s="22" t="n">
        <v>20</v>
      </c>
      <c r="E98" s="16" t="n">
        <f aca="false">IF(D98="","",D98/J98)</f>
        <v>0.793411510814199</v>
      </c>
      <c r="F98" s="17" t="s">
        <v>227</v>
      </c>
      <c r="G98" s="18" t="n">
        <f aca="false">0.04*INDEX(Parametros!$C$9:$F$50,MATCH("1A",Parametros!$B$9:$B$50,0),MATCH(Parametros!$C$5,Parametros!$C$8:$F$8,0))</f>
        <v>1.0696</v>
      </c>
      <c r="H98" s="19" t="n">
        <v>0.81</v>
      </c>
      <c r="I98" s="18" t="n">
        <f aca="false">H98*Parametros!$C$4</f>
        <v>24.138</v>
      </c>
      <c r="J98" s="20" t="n">
        <f aca="false">G98+I98</f>
        <v>25.2076</v>
      </c>
      <c r="K98" s="21"/>
    </row>
    <row r="99" customFormat="false" ht="15" hidden="false" customHeight="false" outlineLevel="0" collapsed="false">
      <c r="B99" s="14" t="s">
        <v>230</v>
      </c>
      <c r="C99" s="14" t="s">
        <v>231</v>
      </c>
      <c r="D99" s="22" t="n">
        <v>45</v>
      </c>
      <c r="E99" s="16" t="n">
        <f aca="false">IF(D99="","",D99/J99)</f>
        <v>0.822524748855777</v>
      </c>
      <c r="F99" s="17" t="s">
        <v>227</v>
      </c>
      <c r="G99" s="18" t="n">
        <f aca="false">0.04*INDEX(Parametros!$C$9:$F$50,MATCH("1A",Parametros!$B$9:$B$50,0),MATCH(Parametros!$C$5,Parametros!$C$8:$F$8,0))</f>
        <v>1.0696</v>
      </c>
      <c r="H99" s="19" t="n">
        <v>1.8</v>
      </c>
      <c r="I99" s="18" t="n">
        <f aca="false">H99*Parametros!$C$4</f>
        <v>53.64</v>
      </c>
      <c r="J99" s="20" t="n">
        <f aca="false">G99+I99</f>
        <v>54.7096</v>
      </c>
      <c r="K99" s="21" t="s">
        <v>232</v>
      </c>
    </row>
    <row r="100" customFormat="false" ht="15" hidden="false" customHeight="false" outlineLevel="0" collapsed="false">
      <c r="B100" s="14" t="s">
        <v>233</v>
      </c>
      <c r="C100" s="14" t="s">
        <v>234</v>
      </c>
      <c r="D100" s="22" t="n">
        <v>25</v>
      </c>
      <c r="E100" s="16" t="n">
        <f aca="false">IF(D100="","",D100/J100)</f>
        <v>0.325957140547504</v>
      </c>
      <c r="F100" s="17" t="s">
        <v>200</v>
      </c>
      <c r="G100" s="18" t="n">
        <f aca="false">0.1*INDEX(Parametros!$C$9:$F$50,MATCH("1A",Parametros!$B$9:$B$50,0),MATCH(Parametros!$C$5,Parametros!$C$8:$F$8,0))</f>
        <v>2.674</v>
      </c>
      <c r="H100" s="19" t="n">
        <v>2.484</v>
      </c>
      <c r="I100" s="18" t="n">
        <f aca="false">H100*Parametros!$C$4</f>
        <v>74.0232</v>
      </c>
      <c r="J100" s="20" t="n">
        <f aca="false">G100+I100</f>
        <v>76.6972</v>
      </c>
      <c r="K100" s="21"/>
    </row>
    <row r="101" customFormat="false" ht="15" hidden="false" customHeight="false" outlineLevel="0" collapsed="false">
      <c r="B101" s="14" t="s">
        <v>235</v>
      </c>
      <c r="C101" s="14" t="s">
        <v>236</v>
      </c>
      <c r="D101" s="22" t="n">
        <v>25</v>
      </c>
      <c r="E101" s="16" t="n">
        <f aca="false">IF(D101="","",D101/J101)</f>
        <v>0.871256212056792</v>
      </c>
      <c r="F101" s="17" t="s">
        <v>227</v>
      </c>
      <c r="G101" s="18" t="n">
        <f aca="false">0.04*INDEX(Parametros!$C$9:$F$50,MATCH("1A",Parametros!$B$9:$B$50,0),MATCH(Parametros!$C$5,Parametros!$C$8:$F$8,0))</f>
        <v>1.0696</v>
      </c>
      <c r="H101" s="19" t="n">
        <v>0.927</v>
      </c>
      <c r="I101" s="18" t="n">
        <f aca="false">H101*Parametros!$C$4</f>
        <v>27.6246</v>
      </c>
      <c r="J101" s="20" t="n">
        <f aca="false">G101+I101</f>
        <v>28.6942</v>
      </c>
      <c r="K101" s="21"/>
    </row>
    <row r="102" customFormat="false" ht="15" hidden="false" customHeight="false" outlineLevel="0" collapsed="false">
      <c r="B102" s="14" t="s">
        <v>237</v>
      </c>
      <c r="C102" s="14" t="s">
        <v>238</v>
      </c>
      <c r="D102" s="22" t="n">
        <v>30</v>
      </c>
      <c r="E102" s="16" t="n">
        <f aca="false">IF(D102="","",D102/J102)</f>
        <v>0.599599467555673</v>
      </c>
      <c r="F102" s="17" t="s">
        <v>195</v>
      </c>
      <c r="G102" s="18" t="n">
        <f aca="false">0.01*INDEX(Parametros!$C$9:$F$50,MATCH("1A",Parametros!$B$9:$B$50,0),MATCH(Parametros!$C$5,Parametros!$C$8:$F$8,0))</f>
        <v>0.2674</v>
      </c>
      <c r="H102" s="19" t="n">
        <v>1.67</v>
      </c>
      <c r="I102" s="18" t="n">
        <f aca="false">H102*Parametros!$C$4</f>
        <v>49.766</v>
      </c>
      <c r="J102" s="20" t="n">
        <f aca="false">G102+I102</f>
        <v>50.0334</v>
      </c>
      <c r="K102" s="21"/>
    </row>
    <row r="103" customFormat="false" ht="15" hidden="false" customHeight="false" outlineLevel="0" collapsed="false">
      <c r="B103" s="14" t="s">
        <v>239</v>
      </c>
      <c r="C103" s="14" t="s">
        <v>240</v>
      </c>
      <c r="D103" s="22" t="n">
        <v>55</v>
      </c>
      <c r="E103" s="16" t="n">
        <f aca="false">IF(D103="","",D103/J103)</f>
        <v>0.900322806649948</v>
      </c>
      <c r="F103" s="17" t="s">
        <v>195</v>
      </c>
      <c r="G103" s="18" t="n">
        <f aca="false">0.01*INDEX(Parametros!$C$9:$F$50,MATCH("1A",Parametros!$B$9:$B$50,0),MATCH(Parametros!$C$5,Parametros!$C$8:$F$8,0))</f>
        <v>0.2674</v>
      </c>
      <c r="H103" s="19" t="n">
        <v>2.041</v>
      </c>
      <c r="I103" s="18" t="n">
        <f aca="false">H103*Parametros!$C$4</f>
        <v>60.8218</v>
      </c>
      <c r="J103" s="20" t="n">
        <f aca="false">G103+I103</f>
        <v>61.0892</v>
      </c>
      <c r="K103" s="21"/>
    </row>
    <row r="104" customFormat="false" ht="15" hidden="false" customHeight="false" outlineLevel="0" collapsed="false">
      <c r="B104" s="14" t="s">
        <v>241</v>
      </c>
      <c r="C104" s="14" t="s">
        <v>242</v>
      </c>
      <c r="D104" s="22" t="n">
        <v>25</v>
      </c>
      <c r="E104" s="16" t="n">
        <f aca="false">IF(D104="","",D104/J104)</f>
        <v>1.10984835032141</v>
      </c>
      <c r="F104" s="17" t="s">
        <v>227</v>
      </c>
      <c r="G104" s="18" t="n">
        <f aca="false">0.04*INDEX(Parametros!$C$9:$F$50,MATCH("1A",Parametros!$B$9:$B$50,0),MATCH(Parametros!$C$5,Parametros!$C$8:$F$8,0))</f>
        <v>1.0696</v>
      </c>
      <c r="H104" s="19" t="n">
        <v>0.72</v>
      </c>
      <c r="I104" s="18" t="n">
        <f aca="false">H104*Parametros!$C$4</f>
        <v>21.456</v>
      </c>
      <c r="J104" s="20" t="n">
        <f aca="false">G104+I104</f>
        <v>22.5256</v>
      </c>
      <c r="K104" s="21"/>
    </row>
    <row r="105" customFormat="false" ht="15" hidden="false" customHeight="false" outlineLevel="0" collapsed="false">
      <c r="B105" s="14" t="s">
        <v>243</v>
      </c>
      <c r="C105" s="14" t="s">
        <v>244</v>
      </c>
      <c r="D105" s="22" t="n">
        <v>70</v>
      </c>
      <c r="E105" s="16" t="n">
        <f aca="false">IF(D105="","",D105/J105)</f>
        <v>0.800684470839072</v>
      </c>
      <c r="F105" s="17" t="s">
        <v>200</v>
      </c>
      <c r="G105" s="18" t="n">
        <f aca="false">0.1*INDEX(Parametros!$C$9:$F$50,MATCH("1A",Parametros!$B$9:$B$50,0),MATCH(Parametros!$C$5,Parametros!$C$8:$F$8,0))</f>
        <v>2.674</v>
      </c>
      <c r="H105" s="19" t="n">
        <v>2.844</v>
      </c>
      <c r="I105" s="18" t="n">
        <f aca="false">H105*Parametros!$C$4</f>
        <v>84.7512</v>
      </c>
      <c r="J105" s="20" t="n">
        <f aca="false">G105+I105</f>
        <v>87.4252</v>
      </c>
      <c r="K105" s="21"/>
    </row>
    <row r="106" customFormat="false" ht="15" hidden="false" customHeight="false" outlineLevel="0" collapsed="false">
      <c r="B106" s="14" t="s">
        <v>245</v>
      </c>
      <c r="C106" s="14" t="s">
        <v>246</v>
      </c>
      <c r="D106" s="22" t="n">
        <v>60</v>
      </c>
      <c r="E106" s="16" t="n">
        <f aca="false">IF(D106="","",D106/J106)</f>
        <v>0.956053411517257</v>
      </c>
      <c r="F106" s="17" t="s">
        <v>195</v>
      </c>
      <c r="G106" s="18" t="n">
        <f aca="false">0.01*INDEX(Parametros!$C$9:$F$50,MATCH("1A",Parametros!$B$9:$B$50,0),MATCH(Parametros!$C$5,Parametros!$C$8:$F$8,0))</f>
        <v>0.2674</v>
      </c>
      <c r="H106" s="19" t="n">
        <v>2.097</v>
      </c>
      <c r="I106" s="18" t="n">
        <f aca="false">H106*Parametros!$C$4</f>
        <v>62.4906</v>
      </c>
      <c r="J106" s="20" t="n">
        <f aca="false">G106+I106</f>
        <v>62.758</v>
      </c>
      <c r="K106" s="21"/>
    </row>
    <row r="107" customFormat="false" ht="15" hidden="false" customHeight="false" outlineLevel="0" collapsed="false">
      <c r="B107" s="14" t="s">
        <v>247</v>
      </c>
      <c r="C107" s="14" t="s">
        <v>248</v>
      </c>
      <c r="D107" s="22" t="n">
        <v>110</v>
      </c>
      <c r="E107" s="16" t="n">
        <f aca="false">IF(D107="","",D107/J107)</f>
        <v>2.04505820979323</v>
      </c>
      <c r="F107" s="17" t="s">
        <v>195</v>
      </c>
      <c r="G107" s="18" t="n">
        <f aca="false">0.01*INDEX(Parametros!$C$9:$F$50,MATCH("1A",Parametros!$B$9:$B$50,0),MATCH(Parametros!$C$5,Parametros!$C$8:$F$8,0))</f>
        <v>0.2674</v>
      </c>
      <c r="H107" s="19" t="n">
        <v>1.796</v>
      </c>
      <c r="I107" s="18" t="n">
        <f aca="false">H107*Parametros!$C$4</f>
        <v>53.5208</v>
      </c>
      <c r="J107" s="20" t="n">
        <f aca="false">G107+I107</f>
        <v>53.7882</v>
      </c>
      <c r="K107" s="21"/>
    </row>
    <row r="108" customFormat="false" ht="15" hidden="false" customHeight="false" outlineLevel="0" collapsed="false">
      <c r="B108" s="14" t="s">
        <v>249</v>
      </c>
      <c r="C108" s="14" t="s">
        <v>250</v>
      </c>
      <c r="D108" s="22" t="n">
        <v>55</v>
      </c>
      <c r="E108" s="16" t="n">
        <f aca="false">IF(D108="","",D108/J108)</f>
        <v>1.04098450636515</v>
      </c>
      <c r="F108" s="17" t="s">
        <v>195</v>
      </c>
      <c r="G108" s="18" t="n">
        <f aca="false">0.01*INDEX(Parametros!$C$9:$F$50,MATCH("1A",Parametros!$B$9:$B$50,0),MATCH(Parametros!$C$5,Parametros!$C$8:$F$8,0))</f>
        <v>0.2674</v>
      </c>
      <c r="H108" s="19" t="n">
        <v>1.764</v>
      </c>
      <c r="I108" s="18" t="n">
        <f aca="false">H108*Parametros!$C$4</f>
        <v>52.5672</v>
      </c>
      <c r="J108" s="20" t="n">
        <f aca="false">G108+I108</f>
        <v>52.8346</v>
      </c>
      <c r="K108" s="21"/>
    </row>
    <row r="109" customFormat="false" ht="15" hidden="false" customHeight="false" outlineLevel="0" collapsed="false">
      <c r="B109" s="14" t="s">
        <v>251</v>
      </c>
      <c r="C109" s="14" t="s">
        <v>252</v>
      </c>
      <c r="D109" s="22" t="n">
        <v>25</v>
      </c>
      <c r="E109" s="16" t="n">
        <f aca="false">IF(D109="","",D109/J109)</f>
        <v>1.45653693777674</v>
      </c>
      <c r="F109" s="17" t="s">
        <v>195</v>
      </c>
      <c r="G109" s="18" t="n">
        <f aca="false">0.01*INDEX(Parametros!$C$9:$F$50,MATCH("1A",Parametros!$B$9:$B$50,0),MATCH(Parametros!$C$5,Parametros!$C$8:$F$8,0))</f>
        <v>0.2674</v>
      </c>
      <c r="H109" s="19" t="n">
        <v>0.567</v>
      </c>
      <c r="I109" s="18" t="n">
        <f aca="false">H109*Parametros!$C$4</f>
        <v>16.8966</v>
      </c>
      <c r="J109" s="20" t="n">
        <f aca="false">G109+I109</f>
        <v>17.164</v>
      </c>
      <c r="K109" s="21"/>
    </row>
    <row r="111" customFormat="false" ht="15" hidden="false" customHeight="false" outlineLevel="0" collapsed="false">
      <c r="B111" s="11" t="s">
        <v>253</v>
      </c>
      <c r="C111" s="12"/>
      <c r="D111" s="12"/>
      <c r="E111" s="12"/>
      <c r="F111" s="12"/>
      <c r="G111" s="12"/>
      <c r="H111" s="12"/>
      <c r="I111" s="12"/>
      <c r="J111" s="12"/>
      <c r="K111" s="12"/>
    </row>
    <row r="112" customFormat="false" ht="22.35" hidden="false" customHeight="false" outlineLevel="0" collapsed="false">
      <c r="B112" s="13" t="s">
        <v>55</v>
      </c>
      <c r="C112" s="13" t="s">
        <v>56</v>
      </c>
      <c r="D112" s="13" t="s">
        <v>57</v>
      </c>
      <c r="E112" s="13" t="s">
        <v>58</v>
      </c>
      <c r="F112" s="13" t="s">
        <v>5</v>
      </c>
      <c r="G112" s="13" t="s">
        <v>59</v>
      </c>
      <c r="H112" s="13" t="s">
        <v>60</v>
      </c>
      <c r="I112" s="13" t="s">
        <v>61</v>
      </c>
      <c r="J112" s="13" t="s">
        <v>62</v>
      </c>
      <c r="K112" s="13" t="s">
        <v>63</v>
      </c>
    </row>
    <row r="113" customFormat="false" ht="15" hidden="false" customHeight="false" outlineLevel="0" collapsed="false">
      <c r="B113" s="14"/>
      <c r="C113" s="14" t="s">
        <v>254</v>
      </c>
      <c r="D113" s="22" t="n">
        <v>150</v>
      </c>
      <c r="E113" s="14"/>
      <c r="F113" s="14"/>
      <c r="G113" s="14"/>
      <c r="H113" s="14"/>
      <c r="I113" s="14"/>
      <c r="J113" s="14"/>
      <c r="K113" s="21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42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90"/>
  </cols>
  <sheetData>
    <row r="2" customFormat="false" ht="15" hidden="false" customHeight="false" outlineLevel="0" collapsed="false">
      <c r="B2" s="24" t="s">
        <v>256</v>
      </c>
    </row>
    <row r="4" customFormat="false" ht="15" hidden="false" customHeight="false" outlineLevel="0" collapsed="false">
      <c r="B4" s="25" t="s">
        <v>56</v>
      </c>
      <c r="C4" s="25" t="s">
        <v>257</v>
      </c>
      <c r="D4" s="25" t="s">
        <v>258</v>
      </c>
      <c r="E4" s="25" t="s">
        <v>259</v>
      </c>
      <c r="F4" s="25" t="s">
        <v>260</v>
      </c>
    </row>
    <row r="5" customFormat="false" ht="15" hidden="false" customHeight="false" outlineLevel="0" collapsed="false">
      <c r="B5" s="14" t="s">
        <v>130</v>
      </c>
      <c r="C5" s="18" t="n">
        <v>90</v>
      </c>
      <c r="D5" s="18" t="n">
        <v>250</v>
      </c>
      <c r="E5" s="18" t="n">
        <v>150</v>
      </c>
      <c r="F5" s="26" t="s">
        <v>261</v>
      </c>
    </row>
    <row r="6" customFormat="false" ht="15" hidden="false" customHeight="false" outlineLevel="0" collapsed="false">
      <c r="B6" s="14" t="s">
        <v>262</v>
      </c>
      <c r="C6" s="18" t="n">
        <v>80</v>
      </c>
      <c r="D6" s="18" t="n">
        <v>250</v>
      </c>
      <c r="E6" s="18" t="n">
        <v>120</v>
      </c>
      <c r="F6" s="26" t="s">
        <v>263</v>
      </c>
    </row>
    <row r="7" customFormat="false" ht="15" hidden="false" customHeight="false" outlineLevel="0" collapsed="false">
      <c r="B7" s="14" t="s">
        <v>264</v>
      </c>
      <c r="C7" s="18" t="n">
        <v>100</v>
      </c>
      <c r="D7" s="18" t="n">
        <v>300</v>
      </c>
      <c r="E7" s="18" t="n">
        <v>150</v>
      </c>
      <c r="F7" s="26" t="s">
        <v>265</v>
      </c>
    </row>
    <row r="8" customFormat="false" ht="15" hidden="false" customHeight="false" outlineLevel="0" collapsed="false">
      <c r="B8" s="14" t="s">
        <v>266</v>
      </c>
      <c r="C8" s="18" t="n">
        <v>30</v>
      </c>
      <c r="D8" s="18" t="n">
        <v>80</v>
      </c>
      <c r="E8" s="18" t="n">
        <v>50</v>
      </c>
      <c r="F8" s="26" t="s">
        <v>267</v>
      </c>
    </row>
    <row r="9" customFormat="false" ht="15" hidden="false" customHeight="false" outlineLevel="0" collapsed="false">
      <c r="B9" s="14" t="s">
        <v>268</v>
      </c>
      <c r="C9" s="18" t="n">
        <v>100</v>
      </c>
      <c r="D9" s="18" t="n">
        <v>300</v>
      </c>
      <c r="E9" s="18" t="n">
        <v>197</v>
      </c>
      <c r="F9" s="26" t="s">
        <v>269</v>
      </c>
    </row>
    <row r="10" customFormat="false" ht="15" hidden="false" customHeight="false" outlineLevel="0" collapsed="false">
      <c r="B10" s="14" t="s">
        <v>270</v>
      </c>
      <c r="C10" s="18" t="n">
        <v>250</v>
      </c>
      <c r="D10" s="18" t="n">
        <v>500</v>
      </c>
      <c r="E10" s="18" t="n">
        <v>350</v>
      </c>
      <c r="F10" s="26" t="s">
        <v>271</v>
      </c>
    </row>
    <row r="11" customFormat="false" ht="15" hidden="false" customHeight="false" outlineLevel="0" collapsed="false">
      <c r="B11" s="14" t="s">
        <v>272</v>
      </c>
      <c r="C11" s="18" t="n">
        <v>100</v>
      </c>
      <c r="D11" s="18" t="n">
        <v>250</v>
      </c>
      <c r="E11" s="18" t="n">
        <v>150</v>
      </c>
      <c r="F11" s="26" t="s">
        <v>273</v>
      </c>
    </row>
    <row r="12" customFormat="false" ht="15" hidden="false" customHeight="false" outlineLevel="0" collapsed="false">
      <c r="B12" s="14" t="s">
        <v>274</v>
      </c>
      <c r="C12" s="18" t="n">
        <v>110</v>
      </c>
      <c r="D12" s="18" t="n">
        <v>250</v>
      </c>
      <c r="E12" s="18" t="n">
        <v>150</v>
      </c>
      <c r="F12" s="26" t="s">
        <v>275</v>
      </c>
    </row>
    <row r="13" customFormat="false" ht="15" hidden="false" customHeight="false" outlineLevel="0" collapsed="false">
      <c r="B13" s="14" t="s">
        <v>276</v>
      </c>
      <c r="C13" s="18" t="n">
        <v>15</v>
      </c>
      <c r="D13" s="18" t="n">
        <v>80</v>
      </c>
      <c r="E13" s="18" t="n">
        <v>27</v>
      </c>
      <c r="F13" s="26" t="s">
        <v>277</v>
      </c>
    </row>
    <row r="14" customFormat="false" ht="15" hidden="false" customHeight="false" outlineLevel="0" collapsed="false">
      <c r="B14" s="14" t="s">
        <v>278</v>
      </c>
      <c r="C14" s="18" t="n">
        <v>11</v>
      </c>
      <c r="D14" s="18" t="n">
        <v>50</v>
      </c>
      <c r="E14" s="18" t="n">
        <v>20</v>
      </c>
      <c r="F14" s="26" t="s">
        <v>279</v>
      </c>
    </row>
    <row r="15" customFormat="false" ht="15" hidden="false" customHeight="false" outlineLevel="0" collapsed="false">
      <c r="B15" s="14" t="s">
        <v>280</v>
      </c>
      <c r="C15" s="18" t="n">
        <v>23</v>
      </c>
      <c r="D15" s="18" t="n">
        <v>60</v>
      </c>
      <c r="E15" s="18" t="n">
        <v>33</v>
      </c>
      <c r="F15" s="26" t="s">
        <v>281</v>
      </c>
    </row>
    <row r="16" customFormat="false" ht="15" hidden="false" customHeight="false" outlineLevel="0" collapsed="false">
      <c r="B16" s="14" t="s">
        <v>282</v>
      </c>
      <c r="C16" s="18" t="n">
        <v>46</v>
      </c>
      <c r="D16" s="18" t="n">
        <v>120</v>
      </c>
      <c r="E16" s="18" t="n">
        <v>60</v>
      </c>
      <c r="F16" s="26" t="s">
        <v>283</v>
      </c>
    </row>
    <row r="17" customFormat="false" ht="15" hidden="false" customHeight="false" outlineLevel="0" collapsed="false">
      <c r="B17" s="14" t="s">
        <v>284</v>
      </c>
      <c r="C17" s="18" t="n">
        <v>29</v>
      </c>
      <c r="D17" s="18" t="n">
        <v>120</v>
      </c>
      <c r="E17" s="18" t="n">
        <v>45</v>
      </c>
      <c r="F17" s="26" t="s">
        <v>285</v>
      </c>
    </row>
    <row r="18" customFormat="false" ht="15" hidden="false" customHeight="false" outlineLevel="0" collapsed="false">
      <c r="B18" s="14" t="s">
        <v>286</v>
      </c>
      <c r="C18" s="18" t="n">
        <v>29</v>
      </c>
      <c r="D18" s="18" t="n">
        <v>70</v>
      </c>
      <c r="E18" s="18" t="n">
        <v>40</v>
      </c>
      <c r="F18" s="26" t="s">
        <v>287</v>
      </c>
    </row>
    <row r="19" customFormat="false" ht="15" hidden="false" customHeight="false" outlineLevel="0" collapsed="false">
      <c r="B19" s="14" t="s">
        <v>288</v>
      </c>
      <c r="C19" s="18" t="n">
        <v>30</v>
      </c>
      <c r="D19" s="18" t="n">
        <v>90</v>
      </c>
      <c r="E19" s="18" t="n">
        <v>50</v>
      </c>
      <c r="F19" s="26" t="s">
        <v>289</v>
      </c>
    </row>
    <row r="20" customFormat="false" ht="15" hidden="false" customHeight="false" outlineLevel="0" collapsed="false">
      <c r="B20" s="14" t="s">
        <v>290</v>
      </c>
      <c r="C20" s="18" t="n">
        <v>15</v>
      </c>
      <c r="D20" s="18" t="n">
        <v>40</v>
      </c>
      <c r="E20" s="18" t="n">
        <v>20</v>
      </c>
      <c r="F20" s="26" t="s">
        <v>291</v>
      </c>
    </row>
    <row r="21" customFormat="false" ht="15" hidden="false" customHeight="false" outlineLevel="0" collapsed="false">
      <c r="B21" s="14" t="s">
        <v>292</v>
      </c>
      <c r="C21" s="18" t="n">
        <v>44</v>
      </c>
      <c r="D21" s="18" t="n">
        <v>90</v>
      </c>
      <c r="E21" s="18" t="n">
        <v>55</v>
      </c>
      <c r="F21" s="26" t="s">
        <v>293</v>
      </c>
    </row>
    <row r="22" customFormat="false" ht="15" hidden="false" customHeight="false" outlineLevel="0" collapsed="false">
      <c r="B22" s="14" t="s">
        <v>294</v>
      </c>
      <c r="C22" s="18" t="n">
        <v>22</v>
      </c>
      <c r="D22" s="18" t="n">
        <v>50</v>
      </c>
      <c r="E22" s="18" t="n">
        <v>30</v>
      </c>
      <c r="F22" s="26" t="s">
        <v>295</v>
      </c>
    </row>
    <row r="23" customFormat="false" ht="15" hidden="false" customHeight="false" outlineLevel="0" collapsed="false">
      <c r="B23" s="14" t="s">
        <v>296</v>
      </c>
      <c r="C23" s="18" t="n">
        <v>39</v>
      </c>
      <c r="D23" s="18" t="n">
        <v>90</v>
      </c>
      <c r="E23" s="18" t="n">
        <v>55</v>
      </c>
      <c r="F23" s="26" t="s">
        <v>297</v>
      </c>
    </row>
    <row r="24" customFormat="false" ht="15" hidden="false" customHeight="false" outlineLevel="0" collapsed="false">
      <c r="B24" s="14" t="s">
        <v>298</v>
      </c>
      <c r="C24" s="18" t="n">
        <v>16</v>
      </c>
      <c r="D24" s="18" t="n">
        <v>50</v>
      </c>
      <c r="E24" s="18" t="n">
        <v>30</v>
      </c>
      <c r="F24" s="26" t="s">
        <v>299</v>
      </c>
    </row>
    <row r="25" customFormat="false" ht="15" hidden="false" customHeight="false" outlineLevel="0" collapsed="false">
      <c r="B25" s="14" t="s">
        <v>300</v>
      </c>
      <c r="C25" s="18" t="n">
        <v>62</v>
      </c>
      <c r="D25" s="18" t="n">
        <v>123</v>
      </c>
      <c r="E25" s="18" t="n">
        <v>70</v>
      </c>
      <c r="F25" s="26" t="s">
        <v>301</v>
      </c>
    </row>
    <row r="26" customFormat="false" ht="15" hidden="false" customHeight="false" outlineLevel="0" collapsed="false">
      <c r="B26" s="14" t="s">
        <v>302</v>
      </c>
      <c r="C26" s="18" t="n">
        <v>42</v>
      </c>
      <c r="D26" s="18" t="n">
        <v>90</v>
      </c>
      <c r="E26" s="18" t="n">
        <v>60</v>
      </c>
      <c r="F26" s="26" t="s">
        <v>303</v>
      </c>
    </row>
    <row r="27" customFormat="false" ht="15" hidden="false" customHeight="false" outlineLevel="0" collapsed="false">
      <c r="B27" s="14" t="s">
        <v>304</v>
      </c>
      <c r="C27" s="18" t="n">
        <v>70</v>
      </c>
      <c r="D27" s="18" t="n">
        <v>200</v>
      </c>
      <c r="E27" s="18" t="n">
        <v>110</v>
      </c>
      <c r="F27" s="26" t="s">
        <v>305</v>
      </c>
    </row>
    <row r="28" customFormat="false" ht="15" hidden="false" customHeight="false" outlineLevel="0" collapsed="false">
      <c r="B28" s="14" t="s">
        <v>306</v>
      </c>
      <c r="C28" s="18" t="n">
        <v>38</v>
      </c>
      <c r="D28" s="18" t="n">
        <v>90</v>
      </c>
      <c r="E28" s="18" t="n">
        <v>55</v>
      </c>
      <c r="F28" s="26" t="s">
        <v>307</v>
      </c>
    </row>
    <row r="29" customFormat="false" ht="15" hidden="false" customHeight="false" outlineLevel="0" collapsed="false">
      <c r="B29" s="14" t="s">
        <v>308</v>
      </c>
      <c r="C29" s="18" t="n">
        <v>17</v>
      </c>
      <c r="D29" s="18" t="n">
        <v>50</v>
      </c>
      <c r="E29" s="18" t="n">
        <v>30</v>
      </c>
      <c r="F29" s="26" t="s">
        <v>309</v>
      </c>
    </row>
    <row r="30" customFormat="false" ht="15" hidden="false" customHeight="false" outlineLevel="0" collapsed="false">
      <c r="B30" s="14" t="s">
        <v>310</v>
      </c>
      <c r="C30" s="18" t="n">
        <v>11</v>
      </c>
      <c r="D30" s="18" t="n">
        <v>35</v>
      </c>
      <c r="E30" s="18" t="n">
        <v>20</v>
      </c>
      <c r="F30" s="26" t="s">
        <v>311</v>
      </c>
    </row>
    <row r="31" customFormat="false" ht="15" hidden="false" customHeight="false" outlineLevel="0" collapsed="false">
      <c r="B31" s="14" t="s">
        <v>312</v>
      </c>
      <c r="C31" s="18" t="n">
        <v>12</v>
      </c>
      <c r="D31" s="18" t="n">
        <v>35</v>
      </c>
      <c r="E31" s="18" t="n">
        <v>16</v>
      </c>
      <c r="F31" s="26" t="s">
        <v>313</v>
      </c>
    </row>
    <row r="32" customFormat="false" ht="15" hidden="false" customHeight="false" outlineLevel="0" collapsed="false">
      <c r="B32" s="14" t="s">
        <v>314</v>
      </c>
      <c r="C32" s="18" t="n">
        <v>13</v>
      </c>
      <c r="D32" s="18" t="n">
        <v>35</v>
      </c>
      <c r="E32" s="18" t="n">
        <v>20</v>
      </c>
      <c r="F32" s="26" t="s">
        <v>315</v>
      </c>
    </row>
    <row r="33" customFormat="false" ht="15" hidden="false" customHeight="false" outlineLevel="0" collapsed="false">
      <c r="B33" s="14" t="s">
        <v>316</v>
      </c>
      <c r="C33" s="18" t="n">
        <v>11</v>
      </c>
      <c r="D33" s="18" t="n">
        <v>30</v>
      </c>
      <c r="E33" s="18" t="n">
        <v>15</v>
      </c>
      <c r="F33" s="26" t="s">
        <v>317</v>
      </c>
    </row>
    <row r="34" customFormat="false" ht="15" hidden="false" customHeight="false" outlineLevel="0" collapsed="false">
      <c r="B34" s="14" t="s">
        <v>318</v>
      </c>
      <c r="C34" s="18" t="n">
        <v>11</v>
      </c>
      <c r="D34" s="18" t="n">
        <v>30</v>
      </c>
      <c r="E34" s="18" t="n">
        <v>15</v>
      </c>
      <c r="F34" s="26" t="s">
        <v>317</v>
      </c>
    </row>
    <row r="35" customFormat="false" ht="15" hidden="false" customHeight="false" outlineLevel="0" collapsed="false">
      <c r="B35" s="14" t="s">
        <v>319</v>
      </c>
      <c r="C35" s="18" t="n">
        <v>8</v>
      </c>
      <c r="D35" s="18" t="n">
        <v>30</v>
      </c>
      <c r="E35" s="18" t="n">
        <v>20</v>
      </c>
      <c r="F35" s="26" t="s">
        <v>320</v>
      </c>
    </row>
    <row r="36" customFormat="false" ht="15" hidden="false" customHeight="false" outlineLevel="0" collapsed="false">
      <c r="B36" s="14" t="s">
        <v>321</v>
      </c>
      <c r="C36" s="18" t="n">
        <v>7</v>
      </c>
      <c r="D36" s="18" t="n">
        <v>35</v>
      </c>
      <c r="E36" s="18" t="n">
        <v>20</v>
      </c>
      <c r="F36" s="26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0"/>
  </cols>
  <sheetData>
    <row r="2" customFormat="false" ht="15" hidden="false" customHeight="false" outlineLevel="0" collapsed="false">
      <c r="B2" s="24" t="s">
        <v>323</v>
      </c>
    </row>
    <row r="3" customFormat="false" ht="15" hidden="false" customHeight="false" outlineLevel="0" collapsed="false">
      <c r="B3" s="27"/>
    </row>
    <row r="4" customFormat="false" ht="15" hidden="false" customHeight="false" outlineLevel="0" collapsed="false">
      <c r="B4" s="28" t="s">
        <v>324</v>
      </c>
    </row>
    <row r="5" customFormat="false" ht="15" hidden="false" customHeight="false" outlineLevel="0" collapsed="false">
      <c r="B5" s="29" t="s">
        <v>325</v>
      </c>
    </row>
    <row r="6" customFormat="false" ht="15" hidden="false" customHeight="false" outlineLevel="0" collapsed="false">
      <c r="B6" s="29" t="s">
        <v>326</v>
      </c>
    </row>
    <row r="7" customFormat="false" ht="15" hidden="false" customHeight="false" outlineLevel="0" collapsed="false">
      <c r="B7" s="29" t="s">
        <v>327</v>
      </c>
    </row>
    <row r="8" customFormat="false" ht="15" hidden="false" customHeight="false" outlineLevel="0" collapsed="false">
      <c r="B8" s="29" t="s">
        <v>328</v>
      </c>
    </row>
    <row r="9" customFormat="false" ht="15" hidden="false" customHeight="false" outlineLevel="0" collapsed="false">
      <c r="B9" s="27"/>
    </row>
    <row r="10" customFormat="false" ht="15" hidden="false" customHeight="false" outlineLevel="0" collapsed="false">
      <c r="B10" s="28" t="s">
        <v>329</v>
      </c>
    </row>
    <row r="11" customFormat="false" ht="15" hidden="false" customHeight="false" outlineLevel="0" collapsed="false">
      <c r="B11" s="29" t="s">
        <v>330</v>
      </c>
    </row>
    <row r="12" customFormat="false" ht="15" hidden="false" customHeight="false" outlineLevel="0" collapsed="false">
      <c r="B12" s="29" t="s">
        <v>331</v>
      </c>
    </row>
    <row r="13" customFormat="false" ht="15" hidden="false" customHeight="false" outlineLevel="0" collapsed="false">
      <c r="B13" s="29" t="s">
        <v>332</v>
      </c>
    </row>
    <row r="14" customFormat="false" ht="15" hidden="false" customHeight="false" outlineLevel="0" collapsed="false">
      <c r="B14" s="29" t="s">
        <v>333</v>
      </c>
    </row>
    <row r="15" customFormat="false" ht="15" hidden="false" customHeight="false" outlineLevel="0" collapsed="false">
      <c r="B15" s="29" t="s">
        <v>334</v>
      </c>
    </row>
    <row r="16" customFormat="false" ht="15" hidden="false" customHeight="false" outlineLevel="0" collapsed="false">
      <c r="B16" s="29" t="s">
        <v>335</v>
      </c>
    </row>
    <row r="17" customFormat="false" ht="15" hidden="false" customHeight="false" outlineLevel="0" collapsed="false">
      <c r="B17" s="27"/>
    </row>
    <row r="18" customFormat="false" ht="15" hidden="false" customHeight="false" outlineLevel="0" collapsed="false">
      <c r="B18" s="28" t="s">
        <v>260</v>
      </c>
    </row>
    <row r="19" customFormat="false" ht="15" hidden="false" customHeight="false" outlineLevel="0" collapsed="false">
      <c r="B19" s="29" t="s">
        <v>336</v>
      </c>
    </row>
    <row r="20" customFormat="false" ht="15" hidden="false" customHeight="false" outlineLevel="0" collapsed="false">
      <c r="B20" s="29" t="s">
        <v>337</v>
      </c>
    </row>
    <row r="21" customFormat="false" ht="15" hidden="false" customHeight="false" outlineLevel="0" collapsed="false">
      <c r="B21" s="27"/>
    </row>
    <row r="22" customFormat="false" ht="15" hidden="false" customHeight="false" outlineLevel="0" collapsed="false">
      <c r="B22" s="28" t="s">
        <v>338</v>
      </c>
    </row>
    <row r="23" customFormat="false" ht="15" hidden="false" customHeight="false" outlineLevel="0" collapsed="false">
      <c r="B23" s="29" t="s">
        <v>339</v>
      </c>
    </row>
    <row r="24" customFormat="false" ht="15" hidden="false" customHeight="false" outlineLevel="0" collapsed="false">
      <c r="B24" s="29" t="s">
        <v>340</v>
      </c>
    </row>
    <row r="25" customFormat="false" ht="15" hidden="false" customHeight="false" outlineLevel="0" collapsed="false">
      <c r="B25" s="29" t="s">
        <v>341</v>
      </c>
    </row>
    <row r="26" customFormat="false" ht="15" hidden="false" customHeight="false" outlineLevel="0" collapsed="false">
      <c r="B26" s="29" t="s">
        <v>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2026-07-31T18:59:41Z</dcterms:created>
  <dc:creator>openpyxl</dc:creator>
  <dc:description/>
  <dc:language>en-US</dc:language>
  <cp:lastModifiedBy/>
  <dcterms:modified xsi:type="dcterms:W3CDTF">2026-07-31T18:59:42Z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