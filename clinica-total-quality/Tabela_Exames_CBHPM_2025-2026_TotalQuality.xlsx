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Tabela CBHPM" sheetId="2" state="visible" r:id="rId4"/>
    <sheet name="Leia-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<sst xmlns="http://schemas.openxmlformats.org/spreadsheetml/2006/main" count="395" uniqueCount="263">
  <si>
    <t xml:space="preserve">PARÂMETROS — CBHPM 2025/2026</t>
  </si>
  <si>
    <t xml:space="preserve">Valor da UCO (R$)</t>
  </si>
  <si>
    <t xml:space="preserve">Faixa de negociação</t>
  </si>
  <si>
    <t xml:space="preserve">ORIGINAL</t>
  </si>
  <si>
    <t xml:space="preserve">Valores de porte — Comunicado Oficial CBHPM/AMB 18/10/2025 (INPC 5,10%) — vigência out/2025 a set/2026</t>
  </si>
  <si>
    <t xml:space="preserve">Porte</t>
  </si>
  <si>
    <t xml:space="preserve">FAIXA I</t>
  </si>
  <si>
    <t xml:space="preserve">FAIXA II</t>
  </si>
  <si>
    <t xml:space="preserve">FAIXA III</t>
  </si>
  <si>
    <t xml:space="preserve">1A</t>
  </si>
  <si>
    <t xml:space="preserve">1B</t>
  </si>
  <si>
    <t xml:space="preserve">1C</t>
  </si>
  <si>
    <t xml:space="preserve">2A</t>
  </si>
  <si>
    <t xml:space="preserve">2B</t>
  </si>
  <si>
    <t xml:space="preserve">2C</t>
  </si>
  <si>
    <t xml:space="preserve">3A</t>
  </si>
  <si>
    <t xml:space="preserve">3B</t>
  </si>
  <si>
    <t xml:space="preserve">3C</t>
  </si>
  <si>
    <t xml:space="preserve">4A</t>
  </si>
  <si>
    <t xml:space="preserve">4B</t>
  </si>
  <si>
    <t xml:space="preserve">4C</t>
  </si>
  <si>
    <t xml:space="preserve">5A</t>
  </si>
  <si>
    <t xml:space="preserve">5B</t>
  </si>
  <si>
    <t xml:space="preserve">5C</t>
  </si>
  <si>
    <t xml:space="preserve">6A</t>
  </si>
  <si>
    <t xml:space="preserve">6B</t>
  </si>
  <si>
    <t xml:space="preserve">6C</t>
  </si>
  <si>
    <t xml:space="preserve">7A</t>
  </si>
  <si>
    <t xml:space="preserve">7B</t>
  </si>
  <si>
    <t xml:space="preserve">7C</t>
  </si>
  <si>
    <t xml:space="preserve">8A</t>
  </si>
  <si>
    <t xml:space="preserve">8B</t>
  </si>
  <si>
    <t xml:space="preserve">8C</t>
  </si>
  <si>
    <t xml:space="preserve">9A</t>
  </si>
  <si>
    <t xml:space="preserve">9B</t>
  </si>
  <si>
    <t xml:space="preserve">9C</t>
  </si>
  <si>
    <t xml:space="preserve">10A</t>
  </si>
  <si>
    <t xml:space="preserve">10B</t>
  </si>
  <si>
    <t xml:space="preserve">10C</t>
  </si>
  <si>
    <t xml:space="preserve">11A</t>
  </si>
  <si>
    <t xml:space="preserve">11B</t>
  </si>
  <si>
    <t xml:space="preserve">11C</t>
  </si>
  <si>
    <t xml:space="preserve">12A</t>
  </si>
  <si>
    <t xml:space="preserve">12B</t>
  </si>
  <si>
    <t xml:space="preserve">12C</t>
  </si>
  <si>
    <t xml:space="preserve">13A</t>
  </si>
  <si>
    <t xml:space="preserve">13B</t>
  </si>
  <si>
    <t xml:space="preserve">13C</t>
  </si>
  <si>
    <t xml:space="preserve">14A</t>
  </si>
  <si>
    <t xml:space="preserve">14B</t>
  </si>
  <si>
    <t xml:space="preserve">14C</t>
  </si>
  <si>
    <t xml:space="preserve">TOTAL QUALITY MEDICINA DIAGNÓSTICA — TABELA DE EXAMES · REFERENCIAL CBHPM</t>
  </si>
  <si>
    <t xml:space="preserve">CBHPM 2018 (códigos/portes/UCO) · Valores de porte 2025/2026 (AMB, INPC 5,10%) · UCO = R$ 29,80</t>
  </si>
  <si>
    <t xml:space="preserve">Valor Porte e Total recalculam ao alterar a UCO ou a Faixa na aba "Parametros" (células amarelas).</t>
  </si>
  <si>
    <t xml:space="preserve">TOMOGRAFIA COMPUTADORIZADA MULTISLICE</t>
  </si>
  <si>
    <t xml:space="preserve">Código CBHPM</t>
  </si>
  <si>
    <t xml:space="preserve">Exame</t>
  </si>
  <si>
    <t xml:space="preserve">Valor Porte (R$)</t>
  </si>
  <si>
    <t xml:space="preserve">Custo Oper. (UCO)</t>
  </si>
  <si>
    <t xml:space="preserve">Custo Oper. (R$)</t>
  </si>
  <si>
    <t xml:space="preserve">Filme (m²)</t>
  </si>
  <si>
    <t xml:space="preserve">TOTAL CBHPM (R$)</t>
  </si>
  <si>
    <t xml:space="preserve">Observações</t>
  </si>
  <si>
    <t xml:space="preserve">4.10.01.01-0</t>
  </si>
  <si>
    <t xml:space="preserve">TC - Crânio ou sela túrcica ou órbitas</t>
  </si>
  <si>
    <t xml:space="preserve">4.10.01.03-6</t>
  </si>
  <si>
    <t xml:space="preserve">TC - Face ou seios da face</t>
  </si>
  <si>
    <t xml:space="preserve">4.10.01.06-0</t>
  </si>
  <si>
    <t xml:space="preserve">TC - Pescoço (partes moles, laringe, tireoide, faringe e glândulas salivares)</t>
  </si>
  <si>
    <t xml:space="preserve">4.10.01.07-9</t>
  </si>
  <si>
    <t xml:space="preserve">TC - Tórax</t>
  </si>
  <si>
    <t xml:space="preserve">4.10.01.10-9</t>
  </si>
  <si>
    <t xml:space="preserve">TC - Abdome superior</t>
  </si>
  <si>
    <t xml:space="preserve">4.10.01.09-5</t>
  </si>
  <si>
    <t xml:space="preserve">TC - Abdome total (abdome superior, pelve e retroperitônio)</t>
  </si>
  <si>
    <t xml:space="preserve">4.10.01.11-7</t>
  </si>
  <si>
    <t xml:space="preserve">TC - Pelve ou bacia</t>
  </si>
  <si>
    <t xml:space="preserve">4.10.01.12-5</t>
  </si>
  <si>
    <t xml:space="preserve">TC - Coluna cervical (código único: cervical ou dorsal ou lombo-sacra até 3 segmentos)</t>
  </si>
  <si>
    <t xml:space="preserve">Código único p/ cervical, dorsal ou lombo-sacra (até 3 segmentos)</t>
  </si>
  <si>
    <t xml:space="preserve">TC - Coluna dorsal (código único: cervical ou dorsal ou lombo-sacra até 3 segmentos)</t>
  </si>
  <si>
    <t xml:space="preserve">TC - Coluna lombo-sacra (código único: cervical ou dorsal ou lombo-sacra até 3 segmentos)</t>
  </si>
  <si>
    <t xml:space="preserve">4.10.01.13-3</t>
  </si>
  <si>
    <t xml:space="preserve">TC - Coluna - segmento adicional</t>
  </si>
  <si>
    <t xml:space="preserve">Cobrar por segmento adicional de coluna</t>
  </si>
  <si>
    <t xml:space="preserve">4.10.01.14-1</t>
  </si>
  <si>
    <t xml:space="preserve">TC - Articulação (esternoclavicular ou ombro ou cotovelo ou punho ou sacroilíacas ou coxofemoral ou joelho ou tornozelo) - unilateral</t>
  </si>
  <si>
    <t xml:space="preserve">4.10.01.15-0</t>
  </si>
  <si>
    <t xml:space="preserve">TC - Segmento apendicular (braço ou antebraço ou mão ou coxa ou perna ou pé) - unilateral</t>
  </si>
  <si>
    <t xml:space="preserve">Contraste em TC: reembolsado à parte (obs. 4.10.99.00-1) — sem % fixo no porte. TC 'com contraste' = mesmo código + reembolso do contraste.</t>
  </si>
  <si>
    <t xml:space="preserve">RAIO-X DIGITAL</t>
  </si>
  <si>
    <t xml:space="preserve">4.08.05.01-8</t>
  </si>
  <si>
    <t xml:space="preserve">RX - Tórax - 1 incidência</t>
  </si>
  <si>
    <t xml:space="preserve">4.08.05.02-6</t>
  </si>
  <si>
    <t xml:space="preserve">RX - Tórax - 2 incidências</t>
  </si>
  <si>
    <t xml:space="preserve">4.08.02.01-9</t>
  </si>
  <si>
    <t xml:space="preserve">RX - Coluna cervical - 3 incidências</t>
  </si>
  <si>
    <t xml:space="preserve">4.08.02.03-5</t>
  </si>
  <si>
    <t xml:space="preserve">RX - Coluna dorsal - 2 incidências</t>
  </si>
  <si>
    <t xml:space="preserve">4.08.02.05-1</t>
  </si>
  <si>
    <t xml:space="preserve">RX - Coluna lombo-sacra - 3 incidências</t>
  </si>
  <si>
    <t xml:space="preserve">4.08.01.01-2</t>
  </si>
  <si>
    <t xml:space="preserve">RX - Crânio - 2 incidências</t>
  </si>
  <si>
    <t xml:space="preserve">4.08.01.06-3</t>
  </si>
  <si>
    <t xml:space="preserve">RX - Seios da face</t>
  </si>
  <si>
    <t xml:space="preserve">4.08.03.12-0</t>
  </si>
  <si>
    <t xml:space="preserve">RX - Mão ou quirodáctilo</t>
  </si>
  <si>
    <t xml:space="preserve">4.08.03.11-2</t>
  </si>
  <si>
    <t xml:space="preserve">RX - Punho</t>
  </si>
  <si>
    <t xml:space="preserve">4.08.04.05-4</t>
  </si>
  <si>
    <t xml:space="preserve">RX - Joelho</t>
  </si>
  <si>
    <t xml:space="preserve">4.08.03.07-4</t>
  </si>
  <si>
    <t xml:space="preserve">RX - Articulação escapuloumeral (ombro)</t>
  </si>
  <si>
    <t xml:space="preserve">4.08.04.03-8</t>
  </si>
  <si>
    <t xml:space="preserve">RX - Articulação coxofemoral (quadril)</t>
  </si>
  <si>
    <t xml:space="preserve">4.08.04.01-1</t>
  </si>
  <si>
    <t xml:space="preserve">RX - Bacia</t>
  </si>
  <si>
    <t xml:space="preserve">4.08.04.09-7</t>
  </si>
  <si>
    <t xml:space="preserve">RX - Pé ou pododáctilo</t>
  </si>
  <si>
    <t xml:space="preserve">4.08.08.01-7</t>
  </si>
  <si>
    <t xml:space="preserve">RX - Abdome simples</t>
  </si>
  <si>
    <t xml:space="preserve">4.08.03.13-9</t>
  </si>
  <si>
    <t xml:space="preserve">RX - Mãos e punhos para idade óssea</t>
  </si>
  <si>
    <t xml:space="preserve">MAMOGRAFIA DIGITAL</t>
  </si>
  <si>
    <t xml:space="preserve">4.08.08.03-3</t>
  </si>
  <si>
    <t xml:space="preserve">Mamografia convencional bilateral</t>
  </si>
  <si>
    <t xml:space="preserve">4.08.08.04-1</t>
  </si>
  <si>
    <t xml:space="preserve">Mamografia digital bilateral</t>
  </si>
  <si>
    <t xml:space="preserve">Código próprio de mamografia digital</t>
  </si>
  <si>
    <t xml:space="preserve">ULTRASSONOGRAFIA GERAL E DOPPLER</t>
  </si>
  <si>
    <t xml:space="preserve">4.09.01.12-2</t>
  </si>
  <si>
    <t xml:space="preserve">US - Abdome total (abdome superior, rins, bexiga, aorta, veia cava inferior e adrenais)</t>
  </si>
  <si>
    <t xml:space="preserve">4.09.01.13-0</t>
  </si>
  <si>
    <t xml:space="preserve">US - Abdome superior (fígado, vias biliares, vesícula, pâncreas e baço)</t>
  </si>
  <si>
    <t xml:space="preserve">4.09.01.76-9</t>
  </si>
  <si>
    <t xml:space="preserve">US - Aparelho urinário (rins, ureteres e bexiga)</t>
  </si>
  <si>
    <t xml:space="preserve">4.09.01.20-3</t>
  </si>
  <si>
    <t xml:space="preserve">US - Órgãos superficiais (tireoide ou escroto ou pênis ou crânio)</t>
  </si>
  <si>
    <t xml:space="preserve">Usar p/ tireoide (órgãos superficiais)</t>
  </si>
  <si>
    <t xml:space="preserve">4.09.01.11-4</t>
  </si>
  <si>
    <t xml:space="preserve">US - Mamas</t>
  </si>
  <si>
    <t xml:space="preserve">4.09.01.23-8</t>
  </si>
  <si>
    <t xml:space="preserve">US - Obstétrica</t>
  </si>
  <si>
    <t xml:space="preserve">4.09.01.24-6</t>
  </si>
  <si>
    <t xml:space="preserve">US - Obstétrica com Doppler colorido</t>
  </si>
  <si>
    <t xml:space="preserve">4.09.01.30-0</t>
  </si>
  <si>
    <t xml:space="preserve">US - Transvaginal (útero, ovário, anexos e vagina)</t>
  </si>
  <si>
    <t xml:space="preserve">4.09.01.18-1</t>
  </si>
  <si>
    <t xml:space="preserve">US - Abdome inferior feminino / pélvica suprapúbica (bexiga, útero, ovário e anexos)</t>
  </si>
  <si>
    <t xml:space="preserve">4.09.01.75-0</t>
  </si>
  <si>
    <t xml:space="preserve">US - Próstata (via abdominal)</t>
  </si>
  <si>
    <t xml:space="preserve">4.09.01.33-5</t>
  </si>
  <si>
    <t xml:space="preserve">US - Próstata transretal (não inclui abdome inferior masculino)</t>
  </si>
  <si>
    <t xml:space="preserve">4.09.01.22-0</t>
  </si>
  <si>
    <t xml:space="preserve">US - Articular (por articulação)</t>
  </si>
  <si>
    <t xml:space="preserve">4.09.01.21-1</t>
  </si>
  <si>
    <t xml:space="preserve">US - Estruturas superficiais / partes moles (cervical ou axila ou músculo ou tendão)</t>
  </si>
  <si>
    <t xml:space="preserve">4.09.01.36-0</t>
  </si>
  <si>
    <t xml:space="preserve">Doppler colorido de vasos cervicais arteriais bilateral (carótidas e vertebrais)</t>
  </si>
  <si>
    <t xml:space="preserve">4.09.01.48-3</t>
  </si>
  <si>
    <t xml:space="preserve">Doppler colorido venoso de membro inferior - unilateral</t>
  </si>
  <si>
    <t xml:space="preserve">4.09.01.47-5</t>
  </si>
  <si>
    <t xml:space="preserve">Doppler colorido arterial de membro inferior - unilateral</t>
  </si>
  <si>
    <t xml:space="preserve">4.09.01.40-8</t>
  </si>
  <si>
    <t xml:space="preserve">Doppler colorido de aorta e ilíacas</t>
  </si>
  <si>
    <t xml:space="preserve">MÉTODOS FUNCIONAIS (MAPA · HOLTER · ECG · EEG · ESPIROMETRIA)</t>
  </si>
  <si>
    <t xml:space="preserve">2.01.02.03-8</t>
  </si>
  <si>
    <t xml:space="preserve">Monitorização ambulatorial da pressão arterial - MAPA (24 horas)</t>
  </si>
  <si>
    <t xml:space="preserve">2.01.02.02-0</t>
  </si>
  <si>
    <t xml:space="preserve">Holter de 24 horas - 3 canais - digital</t>
  </si>
  <si>
    <t xml:space="preserve">2.01.02.01-1</t>
  </si>
  <si>
    <t xml:space="preserve">Holter de 24 horas - 2 ou mais canais - analógico</t>
  </si>
  <si>
    <t xml:space="preserve">4.01.01.01-0</t>
  </si>
  <si>
    <t xml:space="preserve">ECG convencional de até 12 derivações</t>
  </si>
  <si>
    <t xml:space="preserve">4.01.03.17-0</t>
  </si>
  <si>
    <t xml:space="preserve">EEG de rotina</t>
  </si>
  <si>
    <t xml:space="preserve">EEG simples; fotoestimulação/hiperventilação inclusas na rotina</t>
  </si>
  <si>
    <t xml:space="preserve">4.01.03.23-4</t>
  </si>
  <si>
    <t xml:space="preserve">Eletroencefalograma em vigília, e sono espontâneo ou induzido (inclui análise quantitativa/EEG Quantitativo - mapeamento)</t>
  </si>
  <si>
    <t xml:space="preserve">EEG com mapeamento cerebral (análise quantitativa)</t>
  </si>
  <si>
    <t xml:space="preserve">4.01.05.07-5</t>
  </si>
  <si>
    <t xml:space="preserve">Prova de função pulmonar completa (ou espirometria)</t>
  </si>
  <si>
    <t xml:space="preserve">4.01.01.06-1</t>
  </si>
  <si>
    <t xml:space="preserve">Ergoespirometria ou teste cardiopulmonar de exercício completo (espirometria forçada, consumo de O2, produção de CO2, ECG, oximetria)</t>
  </si>
  <si>
    <t xml:space="preserve">EXAMES LABORATORIAIS (25 mais comuns — catálogo completo sob consulta)</t>
  </si>
  <si>
    <t xml:space="preserve">4.03.04.36-1</t>
  </si>
  <si>
    <t xml:space="preserve">Hemograma com contagem de plaquetas ou frações (eritrograma, leucograma, plaquetas)</t>
  </si>
  <si>
    <t xml:space="preserve">0,01 de 1A</t>
  </si>
  <si>
    <t xml:space="preserve">4.03.02.04-0</t>
  </si>
  <si>
    <t xml:space="preserve">Glicose</t>
  </si>
  <si>
    <t xml:space="preserve">4.03.02.73-3</t>
  </si>
  <si>
    <t xml:space="preserve">Hemoglobina glicada (Fração A1c), dosagem</t>
  </si>
  <si>
    <t xml:space="preserve">0,10 de 1A</t>
  </si>
  <si>
    <t xml:space="preserve">4.03.01.60-5</t>
  </si>
  <si>
    <t xml:space="preserve">Colesterol total, dosagem</t>
  </si>
  <si>
    <t xml:space="preserve">4.03.01.58-3</t>
  </si>
  <si>
    <t xml:space="preserve">Colesterol (HDL), dosagem</t>
  </si>
  <si>
    <t xml:space="preserve">4.03.01.59-1</t>
  </si>
  <si>
    <t xml:space="preserve">Colesterol (LDL), dosagem</t>
  </si>
  <si>
    <t xml:space="preserve">4.03.02.75-0</t>
  </si>
  <si>
    <t xml:space="preserve">Perfil lipídico / lipidograma (lipídios totais, colesterol, triglicerídios e frações)</t>
  </si>
  <si>
    <t xml:space="preserve">4.03.02.54-7</t>
  </si>
  <si>
    <t xml:space="preserve">Triglicerídeos, dosagem</t>
  </si>
  <si>
    <t xml:space="preserve">4.03.02.50-4</t>
  </si>
  <si>
    <t xml:space="preserve">Transaminase oxalacética/TGO (amino transferase aspartato - AST), dosagem</t>
  </si>
  <si>
    <t xml:space="preserve">4.03.02.51-2</t>
  </si>
  <si>
    <t xml:space="preserve">Transaminase pirúvica/TGP (amino transferase de alanina - ALT), dosagem</t>
  </si>
  <si>
    <t xml:space="preserve">4.03.02.58-0</t>
  </si>
  <si>
    <t xml:space="preserve">Ureia, dosagem</t>
  </si>
  <si>
    <t xml:space="preserve">4.03.01.63-0</t>
  </si>
  <si>
    <t xml:space="preserve">Creatinina, dosagem</t>
  </si>
  <si>
    <t xml:space="preserve">4.03.01.15-0</t>
  </si>
  <si>
    <t xml:space="preserve">Ácido úrico, dosagem</t>
  </si>
  <si>
    <t xml:space="preserve">4.03.16.52-1</t>
  </si>
  <si>
    <t xml:space="preserve">Tireoestimulante, hormônio (TSH), dosagem</t>
  </si>
  <si>
    <t xml:space="preserve">4.03.16.49-1</t>
  </si>
  <si>
    <t xml:space="preserve">T4 livre, dosagem</t>
  </si>
  <si>
    <t xml:space="preserve">4.03.16.14-9</t>
  </si>
  <si>
    <t xml:space="preserve">Antígeno específico prostático total (PSA), dosagem</t>
  </si>
  <si>
    <t xml:space="preserve">0,04 de 1A</t>
  </si>
  <si>
    <t xml:space="preserve">4.03.11.21-0</t>
  </si>
  <si>
    <t xml:space="preserve">Rotina de urina / EAS (caracteres físicos, elementos anormais e sedimentoscopia)</t>
  </si>
  <si>
    <t xml:space="preserve">4.03.10.21-3</t>
  </si>
  <si>
    <t xml:space="preserve">Cultura, urina com contagem de colônias (urocultura)</t>
  </si>
  <si>
    <t xml:space="preserve">4.03.10.41-8</t>
  </si>
  <si>
    <t xml:space="preserve">Antibiograma (teste de sensibilidade a antibióticos e quimioterápicos)</t>
  </si>
  <si>
    <t xml:space="preserve">4.03.03.11-0</t>
  </si>
  <si>
    <t xml:space="preserve">Parasitológico nas fezes</t>
  </si>
  <si>
    <t xml:space="preserve">4.03.05.75-9</t>
  </si>
  <si>
    <t xml:space="preserve">Hormônio gonadotrófico coriônico qualitativo (HCG-Beta-HCG), pesquisa</t>
  </si>
  <si>
    <t xml:space="preserve">4.03.05.76-7</t>
  </si>
  <si>
    <t xml:space="preserve">Hormônio gonadotrófico coriônico quantitativo (Beta-HCG), dosagem</t>
  </si>
  <si>
    <t xml:space="preserve">4.03.07.76-0</t>
  </si>
  <si>
    <t xml:space="preserve">Sífilis - VDRL</t>
  </si>
  <si>
    <t xml:space="preserve">4.03.07.17-4</t>
  </si>
  <si>
    <t xml:space="preserve">HIV1 ou HIV2, pesquisa de anticorpos (anti-HIV)</t>
  </si>
  <si>
    <t xml:space="preserve">4.03.16.27-0</t>
  </si>
  <si>
    <t xml:space="preserve">Ferritina, dosagem</t>
  </si>
  <si>
    <t xml:space="preserve">4.03.02.83-0</t>
  </si>
  <si>
    <t xml:space="preserve">Vitamina "D" 25 hidróxi (vitamina D3), dosagem</t>
  </si>
  <si>
    <t xml:space="preserve">4.03.16.57-2</t>
  </si>
  <si>
    <t xml:space="preserve">Vitamina B12, dosagem</t>
  </si>
  <si>
    <t xml:space="preserve">4.03.04.59-0</t>
  </si>
  <si>
    <t xml:space="preserve">Tempo de protrombina (TAP/INR), determinação</t>
  </si>
  <si>
    <t xml:space="preserve">TOXICOLÓGICO</t>
  </si>
  <si>
    <t xml:space="preserve">Toxicológico de larga janela (CNH/CLT): SEM código CBHPM — precificar por tabela própria/mercado. CBHPM cobre apenas analitos isolados (ex.: anfetaminas 4.03.01.33-8, cocaína 4.03.01.57-5, etanol 4.03.13.14-0).</t>
  </si>
  <si>
    <t xml:space="preserve">LEIA-ME — TABELA DE EXAMES CBHPM · TOTAL QUALITY MEDICINA DIAGNÓSTICA</t>
  </si>
  <si>
    <t xml:space="preserve">Como usar</t>
  </si>
  <si>
    <t xml:space="preserve">• As células AMARELAS na aba Parametros são editáveis: valor da UCO (C4) e Faixa de negociação (C5, lista suspensa: ORIGINAL, FAIXA I, II, III).</t>
  </si>
  <si>
    <t xml:space="preserve">• As colunas 'Valor Porte', 'Custo Oper. (R$)' e 'TOTAL CBHPM' recalculam automaticamente a partir desses parâmetros.</t>
  </si>
  <si>
    <t xml:space="preserve">• TOTAL CBHPM = Valor do Porte (honorário) + Custo Operacional (nº de UCO × valor da UCO). O filme (m²) é informativo e NÃO está somado (clínica digital).</t>
  </si>
  <si>
    <t xml:space="preserve">• Exemplo de leitura: US Abdome total = porte 3A (R$ 228,07 na faixa Original) + 5,85 UCO × R$ 29,80 = R$ 402,40.</t>
  </si>
  <si>
    <t xml:space="preserve">Fontes (verificadas em 31/07/2026)</t>
  </si>
  <si>
    <t xml:space="preserve">• Códigos, portes, nº de UCO e filme: CBHPM 2018 — PDF do acervo no Google Drive (2018-cbhpm-portal-do-faturamento-hospitalar.pdf). 100% extraído do documento, sem estimativas.</t>
  </si>
  <si>
    <t xml:space="preserve">• Valores de porte e UCO R$ 29,80: Comunicado Oficial CBHPM/AMB de 18/10/2025 (INPC 5,10%; vigência out/2025–set/2026), com as 4 faixas de negociação.</t>
  </si>
  <si>
    <t xml:space="preserve">Avisos importantes</t>
  </si>
  <si>
    <t xml:space="preserve">• CBHPM é REFERENCIAL: o valor pago por cada operadora segue o CONTRATO (edição contratada + deságio/ágio + UCO contratual). Para particular, a clínica define o preço final.</t>
  </si>
  <si>
    <t xml:space="preserve">• A edição-base vigente da CBHPM é a de 2022 (com RNs até a 071/2026). Esta tabela usa a edição 2018 (acervo disponível) — pode haver diferenças pontuais de porte/UCO em relação à 2022.</t>
  </si>
  <si>
    <t xml:space="preserve">• TC com contraste: o contraste é reembolsado à parte (não há % fixo no porte). Incluir o custo do insumo na cobrança.</t>
  </si>
  <si>
    <t xml:space="preserve">• TC de coluna: código único 4.10.01.12-5 (cervical/dorsal/lombo-sacra); segmento adicional 4.10.01.13-3.</t>
  </si>
  <si>
    <t xml:space="preserve">• EEG: a rotina (4.01.03.17-0) já inclui fotoestimulação e hiperventilação; 'com mapeamento cerebral' é o 4.01.03.23-4.</t>
  </si>
  <si>
    <t xml:space="preserve">• Toxicológico de larga janela (CNH/CLT): sem código CBHPM — precificação própria/mercado.</t>
  </si>
  <si>
    <t xml:space="preserve">• Laboratório: portes expressos como fração do porte 1A (padrão CBHPM). O catálogo de +3.000 exames segue a mesma lógica — esta aba traz os 25 mais comuns.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</si>
</sst>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#,##0.000"/>
    <numFmt numFmtId="167" formatCode="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9C5700"/>
      <name val="Arial"/>
      <family val="0"/>
      <charset val="1"/>
    </font>
    <font>
      <b val="true"/>
      <sz val="12"/>
      <color rgb="FF1F4E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6" min="3" style="0" width="14"/>
  </cols>
  <sheetData>
    <row r="2" customFormat="false" ht="16.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n">
        <v>29.8</v>
      </c>
    </row>
    <row r="5" customFormat="false" ht="15" hidden="false" customHeight="false" outlineLevel="0" collapsed="false">
      <c r="B5" s="2" t="s">
        <v>2</v>
      </c>
      <c r="C5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6" t="s">
        <v>5</v>
      </c>
      <c r="C8" s="6" t="s">
        <v>3</v>
      </c>
      <c r="D8" s="6" t="s">
        <v>6</v>
      </c>
      <c r="E8" s="6" t="s">
        <v>7</v>
      </c>
      <c r="F8" s="6" t="s">
        <v>8</v>
      </c>
    </row>
    <row r="9" customFormat="false" ht="15" hidden="false" customHeight="false" outlineLevel="0" collapsed="false">
      <c r="B9" s="7" t="s">
        <v>9</v>
      </c>
      <c r="C9" s="8" t="n">
        <v>26.74</v>
      </c>
      <c r="D9" s="8" t="n">
        <v>28.89</v>
      </c>
      <c r="E9" s="8" t="n">
        <v>33.19</v>
      </c>
      <c r="F9" s="8" t="n">
        <v>33.19</v>
      </c>
    </row>
    <row r="10" customFormat="false" ht="15" hidden="false" customHeight="false" outlineLevel="0" collapsed="false">
      <c r="B10" s="7" t="s">
        <v>10</v>
      </c>
      <c r="C10" s="8" t="n">
        <v>53.48</v>
      </c>
      <c r="D10" s="8" t="n">
        <v>57.78</v>
      </c>
      <c r="E10" s="8" t="n">
        <v>71.65</v>
      </c>
      <c r="F10" s="8" t="n">
        <v>91.69</v>
      </c>
    </row>
    <row r="11" customFormat="false" ht="15" hidden="false" customHeight="false" outlineLevel="0" collapsed="false">
      <c r="B11" s="7" t="s">
        <v>11</v>
      </c>
      <c r="C11" s="8" t="n">
        <v>80.24</v>
      </c>
      <c r="D11" s="8" t="n">
        <v>86.69</v>
      </c>
      <c r="E11" s="8" t="n">
        <v>116.32</v>
      </c>
      <c r="F11" s="8" t="n">
        <v>131.34</v>
      </c>
    </row>
    <row r="12" customFormat="false" ht="15" hidden="false" customHeight="false" outlineLevel="0" collapsed="false">
      <c r="B12" s="7" t="s">
        <v>12</v>
      </c>
      <c r="C12" s="8" t="n">
        <v>107</v>
      </c>
      <c r="D12" s="8" t="n">
        <v>115.59</v>
      </c>
      <c r="E12" s="8" t="n">
        <v>165.8</v>
      </c>
      <c r="F12" s="8" t="n">
        <v>194.63</v>
      </c>
    </row>
    <row r="13" customFormat="false" ht="15" hidden="false" customHeight="false" outlineLevel="0" collapsed="false">
      <c r="B13" s="7" t="s">
        <v>13</v>
      </c>
      <c r="C13" s="8" t="n">
        <v>141.05</v>
      </c>
      <c r="D13" s="8" t="n">
        <v>152.38</v>
      </c>
      <c r="E13" s="8" t="n">
        <v>236.9</v>
      </c>
      <c r="F13" s="8" t="n">
        <v>306.3</v>
      </c>
    </row>
    <row r="14" customFormat="false" ht="15" hidden="false" customHeight="false" outlineLevel="0" collapsed="false">
      <c r="B14" s="7" t="s">
        <v>14</v>
      </c>
      <c r="C14" s="8" t="n">
        <v>166.92</v>
      </c>
      <c r="D14" s="8" t="n">
        <v>209.42</v>
      </c>
      <c r="E14" s="8" t="n">
        <v>293.78</v>
      </c>
      <c r="F14" s="8" t="n">
        <v>417.59</v>
      </c>
    </row>
    <row r="15" customFormat="false" ht="15" hidden="false" customHeight="false" outlineLevel="0" collapsed="false">
      <c r="B15" s="7" t="s">
        <v>15</v>
      </c>
      <c r="C15" s="8" t="n">
        <v>228.07</v>
      </c>
      <c r="D15" s="8" t="n">
        <v>294.7</v>
      </c>
      <c r="E15" s="8" t="n">
        <v>427.97</v>
      </c>
      <c r="F15" s="8" t="n">
        <v>598.27</v>
      </c>
    </row>
    <row r="16" customFormat="false" ht="15" hidden="false" customHeight="false" outlineLevel="0" collapsed="false">
      <c r="B16" s="7" t="s">
        <v>16</v>
      </c>
      <c r="C16" s="8" t="n">
        <v>291.5</v>
      </c>
      <c r="D16" s="8" t="n">
        <v>381.79</v>
      </c>
      <c r="E16" s="8" t="n">
        <v>562.41</v>
      </c>
      <c r="F16" s="8" t="n">
        <v>778.96</v>
      </c>
    </row>
    <row r="17" customFormat="false" ht="15" hidden="false" customHeight="false" outlineLevel="0" collapsed="false">
      <c r="B17" s="7" t="s">
        <v>17</v>
      </c>
      <c r="C17" s="8" t="n">
        <v>333.81</v>
      </c>
      <c r="D17" s="8" t="n">
        <v>451.99</v>
      </c>
      <c r="E17" s="8" t="n">
        <v>688.38</v>
      </c>
      <c r="F17" s="8" t="n">
        <v>959.65</v>
      </c>
    </row>
    <row r="18" customFormat="false" ht="15" hidden="false" customHeight="false" outlineLevel="0" collapsed="false">
      <c r="B18" s="7" t="s">
        <v>18</v>
      </c>
      <c r="C18" s="8" t="n">
        <v>397.28</v>
      </c>
      <c r="D18" s="8" t="n">
        <v>539.11</v>
      </c>
      <c r="E18" s="8" t="n">
        <v>822.81</v>
      </c>
      <c r="F18" s="8" t="n">
        <v>1140.34</v>
      </c>
    </row>
    <row r="19" customFormat="false" ht="15" hidden="false" customHeight="false" outlineLevel="0" collapsed="false">
      <c r="B19" s="7" t="s">
        <v>19</v>
      </c>
      <c r="C19" s="8" t="n">
        <v>434.89</v>
      </c>
      <c r="D19" s="8" t="n">
        <v>605.55</v>
      </c>
      <c r="E19" s="8" t="n">
        <v>946.9</v>
      </c>
      <c r="F19" s="8" t="n">
        <v>1321.03</v>
      </c>
    </row>
    <row r="20" customFormat="false" ht="15" hidden="false" customHeight="false" outlineLevel="0" collapsed="false">
      <c r="B20" s="7" t="s">
        <v>20</v>
      </c>
      <c r="C20" s="8" t="n">
        <v>491.33</v>
      </c>
      <c r="D20" s="8" t="n">
        <v>687.05</v>
      </c>
      <c r="E20" s="8" t="n">
        <v>1078.52</v>
      </c>
      <c r="F20" s="8" t="n">
        <v>1501.71</v>
      </c>
    </row>
    <row r="21" customFormat="false" ht="15" hidden="false" customHeight="false" outlineLevel="0" collapsed="false">
      <c r="B21" s="7" t="s">
        <v>21</v>
      </c>
      <c r="C21" s="8" t="n">
        <v>528.93</v>
      </c>
      <c r="D21" s="8" t="n">
        <v>753.48</v>
      </c>
      <c r="E21" s="8" t="n">
        <v>1202.61</v>
      </c>
      <c r="F21" s="8" t="n">
        <v>1682.4</v>
      </c>
    </row>
    <row r="22" customFormat="false" ht="15" hidden="false" customHeight="false" outlineLevel="0" collapsed="false">
      <c r="B22" s="7" t="s">
        <v>22</v>
      </c>
      <c r="C22" s="8" t="n">
        <v>571.23</v>
      </c>
      <c r="D22" s="8" t="n">
        <v>823.67</v>
      </c>
      <c r="E22" s="8" t="n">
        <v>1328.59</v>
      </c>
      <c r="F22" s="8" t="n">
        <v>1863.09</v>
      </c>
    </row>
    <row r="23" customFormat="false" ht="15" hidden="false" customHeight="false" outlineLevel="0" collapsed="false">
      <c r="B23" s="7" t="s">
        <v>23</v>
      </c>
      <c r="C23" s="8" t="n">
        <v>606.5</v>
      </c>
      <c r="D23" s="8" t="n">
        <v>888.23</v>
      </c>
      <c r="E23" s="8" t="n">
        <v>1451.74</v>
      </c>
      <c r="F23" s="8" t="n">
        <v>2043.78</v>
      </c>
    </row>
    <row r="24" customFormat="false" ht="15" hidden="false" customHeight="false" outlineLevel="0" collapsed="false">
      <c r="B24" s="7" t="s">
        <v>24</v>
      </c>
      <c r="C24" s="8" t="n">
        <v>660.57</v>
      </c>
      <c r="D24" s="8" t="n">
        <v>967.84</v>
      </c>
      <c r="E24" s="8" t="n">
        <v>1582.41</v>
      </c>
      <c r="F24" s="8" t="n">
        <v>2224.47</v>
      </c>
    </row>
    <row r="25" customFormat="false" ht="15" hidden="false" customHeight="false" outlineLevel="0" collapsed="false">
      <c r="B25" s="7" t="s">
        <v>25</v>
      </c>
      <c r="C25" s="8" t="n">
        <v>726.4</v>
      </c>
      <c r="D25" s="8" t="n">
        <v>1056.85</v>
      </c>
      <c r="E25" s="8" t="n">
        <v>1717.79</v>
      </c>
      <c r="F25" s="8" t="n">
        <v>2405.15</v>
      </c>
    </row>
    <row r="26" customFormat="false" ht="15" hidden="false" customHeight="false" outlineLevel="0" collapsed="false">
      <c r="B26" s="7" t="s">
        <v>26</v>
      </c>
      <c r="C26" s="8" t="n">
        <v>794.57</v>
      </c>
      <c r="D26" s="8" t="n">
        <v>1147.74</v>
      </c>
      <c r="E26" s="8" t="n">
        <v>1854.1</v>
      </c>
      <c r="F26" s="8" t="n">
        <v>2585.84</v>
      </c>
    </row>
    <row r="27" customFormat="false" ht="15" hidden="false" customHeight="false" outlineLevel="0" collapsed="false">
      <c r="B27" s="7" t="s">
        <v>27</v>
      </c>
      <c r="C27" s="8" t="n">
        <v>858.03</v>
      </c>
      <c r="D27" s="8" t="n">
        <v>1234.85</v>
      </c>
      <c r="E27" s="8" t="n">
        <v>1988.53</v>
      </c>
      <c r="F27" s="8" t="n">
        <v>2766.53</v>
      </c>
    </row>
    <row r="28" customFormat="false" ht="15" hidden="false" customHeight="false" outlineLevel="0" collapsed="false">
      <c r="B28" s="7" t="s">
        <v>28</v>
      </c>
      <c r="C28" s="8" t="n">
        <v>949.71</v>
      </c>
      <c r="D28" s="8" t="n">
        <v>1344.53</v>
      </c>
      <c r="E28" s="8" t="n">
        <v>2134.25</v>
      </c>
      <c r="F28" s="8" t="n">
        <v>2947.22</v>
      </c>
    </row>
    <row r="29" customFormat="false" ht="15" hidden="false" customHeight="false" outlineLevel="0" collapsed="false">
      <c r="B29" s="7" t="s">
        <v>29</v>
      </c>
      <c r="C29" s="8" t="n">
        <v>1123.65</v>
      </c>
      <c r="D29" s="8" t="n">
        <v>1520.03</v>
      </c>
      <c r="E29" s="8" t="n">
        <v>2312.88</v>
      </c>
      <c r="F29" s="8" t="n">
        <v>3127.9</v>
      </c>
    </row>
    <row r="30" customFormat="false" ht="15" hidden="false" customHeight="false" outlineLevel="0" collapsed="false">
      <c r="B30" s="7" t="s">
        <v>30</v>
      </c>
      <c r="C30" s="8" t="n">
        <v>1212.99</v>
      </c>
      <c r="D30" s="8" t="n">
        <v>1627.85</v>
      </c>
      <c r="E30" s="8" t="n">
        <v>2457.66</v>
      </c>
      <c r="F30" s="8" t="n">
        <v>3308.59</v>
      </c>
    </row>
    <row r="31" customFormat="false" ht="15" hidden="false" customHeight="false" outlineLevel="0" collapsed="false">
      <c r="B31" s="7" t="s">
        <v>31</v>
      </c>
      <c r="C31" s="8" t="n">
        <v>1271.77</v>
      </c>
      <c r="D31" s="8" t="n">
        <v>1711.23</v>
      </c>
      <c r="E31" s="8" t="n">
        <v>2590.22</v>
      </c>
      <c r="F31" s="8" t="n">
        <v>3489.28</v>
      </c>
    </row>
    <row r="32" customFormat="false" ht="15" hidden="false" customHeight="false" outlineLevel="0" collapsed="false">
      <c r="B32" s="7" t="s">
        <v>32</v>
      </c>
      <c r="C32" s="8" t="n">
        <v>1349.35</v>
      </c>
      <c r="D32" s="8" t="n">
        <v>1809.62</v>
      </c>
      <c r="E32" s="8" t="n">
        <v>2730.3</v>
      </c>
      <c r="F32" s="8" t="n">
        <v>3669.97</v>
      </c>
    </row>
    <row r="33" customFormat="false" ht="15" hidden="false" customHeight="false" outlineLevel="0" collapsed="false">
      <c r="B33" s="7" t="s">
        <v>33</v>
      </c>
      <c r="C33" s="8" t="n">
        <v>1433.97</v>
      </c>
      <c r="D33" s="8" t="n">
        <v>1913.67</v>
      </c>
      <c r="E33" s="8" t="n">
        <v>2873.19</v>
      </c>
      <c r="F33" s="8" t="n">
        <v>3850.66</v>
      </c>
    </row>
    <row r="34" customFormat="false" ht="15" hidden="false" customHeight="false" outlineLevel="0" collapsed="false">
      <c r="B34" s="7" t="s">
        <v>34</v>
      </c>
      <c r="C34" s="8" t="n">
        <v>1567.97</v>
      </c>
      <c r="D34" s="8" t="n">
        <v>2057.21</v>
      </c>
      <c r="E34" s="8" t="n">
        <v>3035.83</v>
      </c>
      <c r="F34" s="8" t="n">
        <v>4031.34</v>
      </c>
    </row>
    <row r="35" customFormat="false" ht="15" hidden="false" customHeight="false" outlineLevel="0" collapsed="false">
      <c r="B35" s="7" t="s">
        <v>35</v>
      </c>
      <c r="C35" s="8" t="n">
        <v>1727.81</v>
      </c>
      <c r="D35" s="8" t="n">
        <v>2221.42</v>
      </c>
      <c r="E35" s="8" t="n">
        <v>3208.81</v>
      </c>
      <c r="F35" s="8" t="n">
        <v>4212.03</v>
      </c>
    </row>
    <row r="36" customFormat="false" ht="15" hidden="false" customHeight="false" outlineLevel="0" collapsed="false">
      <c r="B36" s="7" t="s">
        <v>36</v>
      </c>
      <c r="C36" s="8" t="n">
        <v>1854.75</v>
      </c>
      <c r="D36" s="8" t="n">
        <v>2359.32</v>
      </c>
      <c r="E36" s="8" t="n">
        <v>3368.62</v>
      </c>
      <c r="F36" s="8" t="n">
        <v>4392.72</v>
      </c>
    </row>
    <row r="37" customFormat="false" ht="15" hidden="false" customHeight="false" outlineLevel="0" collapsed="false">
      <c r="B37" s="7" t="s">
        <v>37</v>
      </c>
      <c r="C37" s="8" t="n">
        <v>2009.91</v>
      </c>
      <c r="D37" s="8" t="n">
        <v>2519.79</v>
      </c>
      <c r="E37" s="8" t="n">
        <v>3539.74</v>
      </c>
      <c r="F37" s="8" t="n">
        <v>4573.41</v>
      </c>
    </row>
    <row r="38" customFormat="false" ht="15" hidden="false" customHeight="false" outlineLevel="0" collapsed="false">
      <c r="B38" s="7" t="s">
        <v>38</v>
      </c>
      <c r="C38" s="8" t="n">
        <v>2230.89</v>
      </c>
      <c r="D38" s="8" t="n">
        <v>2732.91</v>
      </c>
      <c r="E38" s="8" t="n">
        <v>3737.16</v>
      </c>
      <c r="F38" s="8" t="n">
        <v>4754.11</v>
      </c>
    </row>
    <row r="39" customFormat="false" ht="15" hidden="false" customHeight="false" outlineLevel="0" collapsed="false">
      <c r="B39" s="7" t="s">
        <v>39</v>
      </c>
      <c r="C39" s="8" t="n">
        <v>2360.17</v>
      </c>
      <c r="D39" s="8" t="n">
        <v>2872.67</v>
      </c>
      <c r="E39" s="8" t="n">
        <v>3897.91</v>
      </c>
      <c r="F39" s="8" t="n">
        <v>4934.78</v>
      </c>
    </row>
    <row r="40" customFormat="false" ht="15" hidden="false" customHeight="false" outlineLevel="0" collapsed="false">
      <c r="B40" s="7" t="s">
        <v>40</v>
      </c>
      <c r="C40" s="8" t="n">
        <v>2588.21</v>
      </c>
      <c r="D40" s="8" t="n">
        <v>3091.44</v>
      </c>
      <c r="E40" s="8" t="n">
        <v>4098.16</v>
      </c>
      <c r="F40" s="8" t="n">
        <v>5115.47</v>
      </c>
    </row>
    <row r="41" customFormat="false" ht="15" hidden="false" customHeight="false" outlineLevel="0" collapsed="false">
      <c r="B41" s="7" t="s">
        <v>41</v>
      </c>
      <c r="C41" s="8" t="n">
        <v>2839.74</v>
      </c>
      <c r="D41" s="8" t="n">
        <v>3329</v>
      </c>
      <c r="E41" s="8" t="n">
        <v>4307.82</v>
      </c>
      <c r="F41" s="8" t="n">
        <v>5296.16</v>
      </c>
    </row>
    <row r="42" customFormat="false" ht="15" hidden="false" customHeight="false" outlineLevel="0" collapsed="false">
      <c r="B42" s="7" t="s">
        <v>42</v>
      </c>
      <c r="C42" s="8" t="n">
        <v>2943.18</v>
      </c>
      <c r="D42" s="8" t="n">
        <v>3448.1</v>
      </c>
      <c r="E42" s="8" t="n">
        <v>4458.24</v>
      </c>
      <c r="F42" s="8" t="n">
        <v>5476.86</v>
      </c>
    </row>
    <row r="43" customFormat="false" ht="15" hidden="false" customHeight="false" outlineLevel="0" collapsed="false">
      <c r="B43" s="7" t="s">
        <v>43</v>
      </c>
      <c r="C43" s="8" t="n">
        <v>3164.15</v>
      </c>
      <c r="D43" s="8" t="n">
        <v>3661.2</v>
      </c>
      <c r="E43" s="8" t="n">
        <v>4655.66</v>
      </c>
      <c r="F43" s="8" t="n">
        <v>5657.53</v>
      </c>
    </row>
    <row r="44" customFormat="false" ht="15" hidden="false" customHeight="false" outlineLevel="0" collapsed="false">
      <c r="B44" s="7" t="s">
        <v>44</v>
      </c>
      <c r="C44" s="8" t="n">
        <v>3876.43</v>
      </c>
      <c r="D44" s="8" t="n">
        <v>4267.33</v>
      </c>
      <c r="E44" s="8" t="n">
        <v>5049.58</v>
      </c>
      <c r="F44" s="8" t="n">
        <v>5838.22</v>
      </c>
    </row>
    <row r="45" customFormat="false" ht="15" hidden="false" customHeight="false" outlineLevel="0" collapsed="false">
      <c r="B45" s="7" t="s">
        <v>45</v>
      </c>
      <c r="C45" s="8" t="n">
        <v>4266.66</v>
      </c>
      <c r="D45" s="8" t="n">
        <v>4615.84</v>
      </c>
      <c r="E45" s="8" t="n">
        <v>5314.7</v>
      </c>
      <c r="F45" s="8" t="n">
        <v>6018.92</v>
      </c>
    </row>
    <row r="46" customFormat="false" ht="15" hidden="false" customHeight="false" outlineLevel="0" collapsed="false">
      <c r="B46" s="7" t="s">
        <v>46</v>
      </c>
      <c r="C46" s="8" t="n">
        <v>4680.39</v>
      </c>
      <c r="D46" s="8" t="n">
        <v>4983.14</v>
      </c>
      <c r="E46" s="8" t="n">
        <v>5589.22</v>
      </c>
      <c r="F46" s="8" t="n">
        <v>6199.61</v>
      </c>
    </row>
    <row r="47" customFormat="false" ht="15" hidden="false" customHeight="false" outlineLevel="0" collapsed="false">
      <c r="B47" s="7" t="s">
        <v>47</v>
      </c>
      <c r="C47" s="8" t="n">
        <v>5176.41</v>
      </c>
      <c r="D47" s="8" t="n">
        <v>5416.27</v>
      </c>
      <c r="E47" s="8" t="n">
        <v>5896.65</v>
      </c>
      <c r="F47" s="8" t="n">
        <v>6380.3</v>
      </c>
    </row>
    <row r="48" customFormat="false" ht="15" hidden="false" customHeight="false" outlineLevel="0" collapsed="false">
      <c r="B48" s="7" t="s">
        <v>48</v>
      </c>
      <c r="C48" s="8" t="n">
        <v>5768.81</v>
      </c>
      <c r="D48" s="8" t="n">
        <v>5926.49</v>
      </c>
      <c r="E48" s="8" t="n">
        <v>6242.63</v>
      </c>
      <c r="F48" s="8" t="n">
        <v>6560.97</v>
      </c>
    </row>
    <row r="49" customFormat="false" ht="15" hidden="false" customHeight="false" outlineLevel="0" collapsed="false">
      <c r="B49" s="7" t="s">
        <v>49</v>
      </c>
      <c r="C49" s="8" t="n">
        <v>6276.59</v>
      </c>
      <c r="D49" s="8" t="n">
        <v>6369.03</v>
      </c>
      <c r="E49" s="8" t="n">
        <v>6554.76</v>
      </c>
      <c r="F49" s="8" t="n">
        <v>6741.67</v>
      </c>
    </row>
    <row r="50" customFormat="false" ht="15" hidden="false" customHeight="false" outlineLevel="0" collapsed="false">
      <c r="B50" s="7" t="s">
        <v>50</v>
      </c>
      <c r="C50" s="8" t="n">
        <v>6922.36</v>
      </c>
      <c r="D50" s="8" t="n">
        <v>6922.36</v>
      </c>
      <c r="E50" s="8" t="n">
        <v>6922.36</v>
      </c>
      <c r="F50" s="8" t="n">
        <v>6922.36</v>
      </c>
    </row>
  </sheetData>
  <dataValidations count="1">
    <dataValidation allowBlank="false" errorStyle="stop" operator="between" showDropDown="false" showErrorMessage="false" showInputMessage="false" sqref="C5" type="list">
      <formula1>"ORIGINAL,FAIXA I,FAIXA II,FAIXA III"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42"/>
  </cols>
  <sheetData>
    <row r="2" customFormat="false" ht="17.35" hidden="false" customHeight="false" outlineLevel="0" collapsed="false">
      <c r="B2" s="9" t="s">
        <v>51</v>
      </c>
    </row>
    <row r="3" customFormat="false" ht="15" hidden="false" customHeight="false" outlineLevel="0" collapsed="false">
      <c r="B3" s="5" t="s">
        <v>52</v>
      </c>
    </row>
    <row r="4" customFormat="false" ht="15" hidden="false" customHeight="false" outlineLevel="0" collapsed="false">
      <c r="B4" s="10" t="s">
        <v>53</v>
      </c>
    </row>
    <row r="6" customFormat="false" ht="15" hidden="false" customHeight="false" outlineLevel="0" collapsed="false">
      <c r="B6" s="11" t="s">
        <v>54</v>
      </c>
      <c r="C6" s="12"/>
      <c r="D6" s="12"/>
      <c r="E6" s="12"/>
      <c r="F6" s="12"/>
      <c r="G6" s="12"/>
      <c r="H6" s="12"/>
      <c r="I6" s="12"/>
      <c r="J6" s="12"/>
    </row>
    <row r="7" customFormat="false" ht="22.35" hidden="false" customHeight="false" outlineLevel="0" collapsed="false">
      <c r="B7" s="13" t="s">
        <v>55</v>
      </c>
      <c r="C7" s="13" t="s">
        <v>56</v>
      </c>
      <c r="D7" s="13" t="s">
        <v>5</v>
      </c>
      <c r="E7" s="13" t="s">
        <v>57</v>
      </c>
      <c r="F7" s="13" t="s">
        <v>58</v>
      </c>
      <c r="G7" s="13" t="s">
        <v>59</v>
      </c>
      <c r="H7" s="13" t="s">
        <v>60</v>
      </c>
      <c r="I7" s="13" t="s">
        <v>61</v>
      </c>
      <c r="J7" s="13" t="s">
        <v>62</v>
      </c>
    </row>
    <row r="8" customFormat="false" ht="15" hidden="false" customHeight="false" outlineLevel="0" collapsed="false">
      <c r="B8" s="14" t="s">
        <v>63</v>
      </c>
      <c r="C8" s="14" t="s">
        <v>64</v>
      </c>
      <c r="D8" s="15" t="s">
        <v>16</v>
      </c>
      <c r="E8" s="16" t="n">
        <f aca="false">1*INDEX(Parametros!$C$9:$F$50,MATCH("3B",Parametros!$B$9:$B$50,0),MATCH(Parametros!$C$5,Parametros!$C$8:$F$8,0))</f>
        <v>291.5</v>
      </c>
      <c r="F8" s="17" t="n">
        <v>19.1</v>
      </c>
      <c r="G8" s="16" t="n">
        <f aca="false">F8*Parametros!$C$4</f>
        <v>569.18</v>
      </c>
      <c r="H8" s="18" t="n">
        <v>1</v>
      </c>
      <c r="I8" s="19" t="n">
        <f aca="false">E8+G8</f>
        <v>860.68</v>
      </c>
      <c r="J8" s="20"/>
    </row>
    <row r="9" customFormat="false" ht="15" hidden="false" customHeight="false" outlineLevel="0" collapsed="false">
      <c r="B9" s="14" t="s">
        <v>65</v>
      </c>
      <c r="C9" s="14" t="s">
        <v>66</v>
      </c>
      <c r="D9" s="15" t="s">
        <v>16</v>
      </c>
      <c r="E9" s="16" t="n">
        <f aca="false">1*INDEX(Parametros!$C$9:$F$50,MATCH("3B",Parametros!$B$9:$B$50,0),MATCH(Parametros!$C$5,Parametros!$C$8:$F$8,0))</f>
        <v>291.5</v>
      </c>
      <c r="F9" s="17" t="n">
        <v>22.38</v>
      </c>
      <c r="G9" s="16" t="n">
        <f aca="false">F9*Parametros!$C$4</f>
        <v>666.924</v>
      </c>
      <c r="H9" s="18" t="n">
        <v>1</v>
      </c>
      <c r="I9" s="19" t="n">
        <f aca="false">E9+G9</f>
        <v>958.424</v>
      </c>
      <c r="J9" s="20"/>
    </row>
    <row r="10" customFormat="false" ht="15" hidden="false" customHeight="false" outlineLevel="0" collapsed="false">
      <c r="B10" s="14" t="s">
        <v>67</v>
      </c>
      <c r="C10" s="14" t="s">
        <v>68</v>
      </c>
      <c r="D10" s="15" t="s">
        <v>16</v>
      </c>
      <c r="E10" s="16" t="n">
        <f aca="false">1*INDEX(Parametros!$C$9:$F$50,MATCH("3B",Parametros!$B$9:$B$50,0),MATCH(Parametros!$C$5,Parametros!$C$8:$F$8,0))</f>
        <v>291.5</v>
      </c>
      <c r="F10" s="17" t="n">
        <v>22.38</v>
      </c>
      <c r="G10" s="16" t="n">
        <f aca="false">F10*Parametros!$C$4</f>
        <v>666.924</v>
      </c>
      <c r="H10" s="18" t="n">
        <v>1.5</v>
      </c>
      <c r="I10" s="19" t="n">
        <f aca="false">E10+G10</f>
        <v>958.424</v>
      </c>
      <c r="J10" s="20"/>
    </row>
    <row r="11" customFormat="false" ht="15" hidden="false" customHeight="false" outlineLevel="0" collapsed="false">
      <c r="B11" s="14" t="s">
        <v>69</v>
      </c>
      <c r="C11" s="14" t="s">
        <v>70</v>
      </c>
      <c r="D11" s="15" t="s">
        <v>16</v>
      </c>
      <c r="E11" s="16" t="n">
        <f aca="false">1*INDEX(Parametros!$C$9:$F$50,MATCH("3B",Parametros!$B$9:$B$50,0),MATCH(Parametros!$C$5,Parametros!$C$8:$F$8,0))</f>
        <v>291.5</v>
      </c>
      <c r="F11" s="17" t="n">
        <v>22.38</v>
      </c>
      <c r="G11" s="16" t="n">
        <f aca="false">F11*Parametros!$C$4</f>
        <v>666.924</v>
      </c>
      <c r="H11" s="18" t="n">
        <v>1.5</v>
      </c>
      <c r="I11" s="19" t="n">
        <f aca="false">E11+G11</f>
        <v>958.424</v>
      </c>
      <c r="J11" s="20"/>
    </row>
    <row r="12" customFormat="false" ht="15" hidden="false" customHeight="false" outlineLevel="0" collapsed="false">
      <c r="B12" s="14" t="s">
        <v>71</v>
      </c>
      <c r="C12" s="14" t="s">
        <v>72</v>
      </c>
      <c r="D12" s="15" t="s">
        <v>16</v>
      </c>
      <c r="E12" s="16" t="n">
        <f aca="false">1*INDEX(Parametros!$C$9:$F$50,MATCH("3B",Parametros!$B$9:$B$50,0),MATCH(Parametros!$C$5,Parametros!$C$8:$F$8,0))</f>
        <v>291.5</v>
      </c>
      <c r="F12" s="17" t="n">
        <v>22.38</v>
      </c>
      <c r="G12" s="16" t="n">
        <f aca="false">F12*Parametros!$C$4</f>
        <v>666.924</v>
      </c>
      <c r="H12" s="18" t="n">
        <v>1.5</v>
      </c>
      <c r="I12" s="19" t="n">
        <f aca="false">E12+G12</f>
        <v>958.424</v>
      </c>
      <c r="J12" s="20"/>
    </row>
    <row r="13" customFormat="false" ht="15" hidden="false" customHeight="false" outlineLevel="0" collapsed="false">
      <c r="B13" s="14" t="s">
        <v>73</v>
      </c>
      <c r="C13" s="14" t="s">
        <v>74</v>
      </c>
      <c r="D13" s="15" t="s">
        <v>17</v>
      </c>
      <c r="E13" s="16" t="n">
        <f aca="false">1*INDEX(Parametros!$C$9:$F$50,MATCH("3C",Parametros!$B$9:$B$50,0),MATCH(Parametros!$C$5,Parametros!$C$8:$F$8,0))</f>
        <v>333.81</v>
      </c>
      <c r="F13" s="17" t="n">
        <v>37.45</v>
      </c>
      <c r="G13" s="16" t="n">
        <f aca="false">F13*Parametros!$C$4</f>
        <v>1116.01</v>
      </c>
      <c r="H13" s="18" t="n">
        <v>2.5</v>
      </c>
      <c r="I13" s="19" t="n">
        <f aca="false">E13+G13</f>
        <v>1449.82</v>
      </c>
      <c r="J13" s="20"/>
    </row>
    <row r="14" customFormat="false" ht="15" hidden="false" customHeight="false" outlineLevel="0" collapsed="false">
      <c r="B14" s="14" t="s">
        <v>75</v>
      </c>
      <c r="C14" s="14" t="s">
        <v>76</v>
      </c>
      <c r="D14" s="15" t="s">
        <v>15</v>
      </c>
      <c r="E14" s="16" t="n">
        <f aca="false">1*INDEX(Parametros!$C$9:$F$50,MATCH("3A",Parametros!$B$9:$B$50,0),MATCH(Parametros!$C$5,Parametros!$C$8:$F$8,0))</f>
        <v>228.07</v>
      </c>
      <c r="F14" s="17" t="n">
        <v>22.38</v>
      </c>
      <c r="G14" s="16" t="n">
        <f aca="false">F14*Parametros!$C$4</f>
        <v>666.924</v>
      </c>
      <c r="H14" s="18" t="n">
        <v>1.5</v>
      </c>
      <c r="I14" s="19" t="n">
        <f aca="false">E14+G14</f>
        <v>894.994</v>
      </c>
      <c r="J14" s="20"/>
    </row>
    <row r="15" customFormat="false" ht="15" hidden="false" customHeight="false" outlineLevel="0" collapsed="false">
      <c r="B15" s="14" t="s">
        <v>77</v>
      </c>
      <c r="C15" s="14" t="s">
        <v>78</v>
      </c>
      <c r="D15" s="15" t="s">
        <v>15</v>
      </c>
      <c r="E15" s="16" t="n">
        <f aca="false">1*INDEX(Parametros!$C$9:$F$50,MATCH("3A",Parametros!$B$9:$B$50,0),MATCH(Parametros!$C$5,Parametros!$C$8:$F$8,0))</f>
        <v>228.07</v>
      </c>
      <c r="F15" s="17" t="n">
        <v>18.2</v>
      </c>
      <c r="G15" s="16" t="n">
        <f aca="false">F15*Parametros!$C$4</f>
        <v>542.36</v>
      </c>
      <c r="H15" s="18" t="n">
        <v>1</v>
      </c>
      <c r="I15" s="19" t="n">
        <f aca="false">E15+G15</f>
        <v>770.43</v>
      </c>
      <c r="J15" s="20" t="s">
        <v>79</v>
      </c>
    </row>
    <row r="16" customFormat="false" ht="15" hidden="false" customHeight="false" outlineLevel="0" collapsed="false">
      <c r="B16" s="14" t="s">
        <v>77</v>
      </c>
      <c r="C16" s="14" t="s">
        <v>80</v>
      </c>
      <c r="D16" s="15" t="s">
        <v>15</v>
      </c>
      <c r="E16" s="16" t="n">
        <f aca="false">1*INDEX(Parametros!$C$9:$F$50,MATCH("3A",Parametros!$B$9:$B$50,0),MATCH(Parametros!$C$5,Parametros!$C$8:$F$8,0))</f>
        <v>228.07</v>
      </c>
      <c r="F16" s="17" t="n">
        <v>18.2</v>
      </c>
      <c r="G16" s="16" t="n">
        <f aca="false">F16*Parametros!$C$4</f>
        <v>542.36</v>
      </c>
      <c r="H16" s="18" t="n">
        <v>1</v>
      </c>
      <c r="I16" s="19" t="n">
        <f aca="false">E16+G16</f>
        <v>770.43</v>
      </c>
      <c r="J16" s="20" t="s">
        <v>79</v>
      </c>
    </row>
    <row r="17" customFormat="false" ht="15" hidden="false" customHeight="false" outlineLevel="0" collapsed="false">
      <c r="B17" s="14" t="s">
        <v>77</v>
      </c>
      <c r="C17" s="14" t="s">
        <v>81</v>
      </c>
      <c r="D17" s="15" t="s">
        <v>15</v>
      </c>
      <c r="E17" s="16" t="n">
        <f aca="false">1*INDEX(Parametros!$C$9:$F$50,MATCH("3A",Parametros!$B$9:$B$50,0),MATCH(Parametros!$C$5,Parametros!$C$8:$F$8,0))</f>
        <v>228.07</v>
      </c>
      <c r="F17" s="17" t="n">
        <v>18.2</v>
      </c>
      <c r="G17" s="16" t="n">
        <f aca="false">F17*Parametros!$C$4</f>
        <v>542.36</v>
      </c>
      <c r="H17" s="18" t="n">
        <v>1</v>
      </c>
      <c r="I17" s="19" t="n">
        <f aca="false">E17+G17</f>
        <v>770.43</v>
      </c>
      <c r="J17" s="20" t="s">
        <v>79</v>
      </c>
    </row>
    <row r="18" customFormat="false" ht="15" hidden="false" customHeight="false" outlineLevel="0" collapsed="false">
      <c r="B18" s="14" t="s">
        <v>82</v>
      </c>
      <c r="C18" s="14" t="s">
        <v>83</v>
      </c>
      <c r="D18" s="15" t="s">
        <v>11</v>
      </c>
      <c r="E18" s="16" t="n">
        <f aca="false">1*INDEX(Parametros!$C$9:$F$50,MATCH("1C",Parametros!$B$9:$B$50,0),MATCH(Parametros!$C$5,Parametros!$C$8:$F$8,0))</f>
        <v>80.24</v>
      </c>
      <c r="F18" s="17" t="n">
        <v>4.28</v>
      </c>
      <c r="G18" s="16" t="n">
        <f aca="false">F18*Parametros!$C$4</f>
        <v>127.544</v>
      </c>
      <c r="H18" s="18" t="n">
        <v>0.5</v>
      </c>
      <c r="I18" s="19" t="n">
        <f aca="false">E18+G18</f>
        <v>207.784</v>
      </c>
      <c r="J18" s="20" t="s">
        <v>84</v>
      </c>
    </row>
    <row r="19" customFormat="false" ht="15" hidden="false" customHeight="false" outlineLevel="0" collapsed="false">
      <c r="B19" s="14" t="s">
        <v>85</v>
      </c>
      <c r="C19" s="14" t="s">
        <v>86</v>
      </c>
      <c r="D19" s="15" t="s">
        <v>15</v>
      </c>
      <c r="E19" s="16" t="n">
        <f aca="false">1*INDEX(Parametros!$C$9:$F$50,MATCH("3A",Parametros!$B$9:$B$50,0),MATCH(Parametros!$C$5,Parametros!$C$8:$F$8,0))</f>
        <v>228.07</v>
      </c>
      <c r="F19" s="17" t="n">
        <v>22.38</v>
      </c>
      <c r="G19" s="16" t="n">
        <f aca="false">F19*Parametros!$C$4</f>
        <v>666.924</v>
      </c>
      <c r="H19" s="18" t="n">
        <v>1.5</v>
      </c>
      <c r="I19" s="19" t="n">
        <f aca="false">E19+G19</f>
        <v>894.994</v>
      </c>
      <c r="J19" s="20"/>
    </row>
    <row r="20" customFormat="false" ht="15" hidden="false" customHeight="false" outlineLevel="0" collapsed="false">
      <c r="B20" s="14" t="s">
        <v>87</v>
      </c>
      <c r="C20" s="14" t="s">
        <v>88</v>
      </c>
      <c r="D20" s="15" t="s">
        <v>15</v>
      </c>
      <c r="E20" s="16" t="n">
        <f aca="false">1*INDEX(Parametros!$C$9:$F$50,MATCH("3A",Parametros!$B$9:$B$50,0),MATCH(Parametros!$C$5,Parametros!$C$8:$F$8,0))</f>
        <v>228.07</v>
      </c>
      <c r="F20" s="17" t="n">
        <v>22.38</v>
      </c>
      <c r="G20" s="16" t="n">
        <f aca="false">F20*Parametros!$C$4</f>
        <v>666.924</v>
      </c>
      <c r="H20" s="18" t="n">
        <v>1.5</v>
      </c>
      <c r="I20" s="19" t="n">
        <f aca="false">E20+G20</f>
        <v>894.994</v>
      </c>
      <c r="J20" s="20"/>
    </row>
    <row r="21" customFormat="false" ht="15" hidden="false" customHeight="false" outlineLevel="0" collapsed="false">
      <c r="C21" s="21" t="s">
        <v>89</v>
      </c>
    </row>
    <row r="23" customFormat="false" ht="15" hidden="false" customHeight="false" outlineLevel="0" collapsed="false">
      <c r="B23" s="11" t="s">
        <v>90</v>
      </c>
      <c r="C23" s="12"/>
      <c r="D23" s="12"/>
      <c r="E23" s="12"/>
      <c r="F23" s="12"/>
      <c r="G23" s="12"/>
      <c r="H23" s="12"/>
      <c r="I23" s="12"/>
      <c r="J23" s="12"/>
    </row>
    <row r="24" customFormat="false" ht="22.35" hidden="false" customHeight="false" outlineLevel="0" collapsed="false">
      <c r="B24" s="13" t="s">
        <v>55</v>
      </c>
      <c r="C24" s="13" t="s">
        <v>56</v>
      </c>
      <c r="D24" s="13" t="s">
        <v>5</v>
      </c>
      <c r="E24" s="13" t="s">
        <v>57</v>
      </c>
      <c r="F24" s="13" t="s">
        <v>58</v>
      </c>
      <c r="G24" s="13" t="s">
        <v>59</v>
      </c>
      <c r="H24" s="13" t="s">
        <v>60</v>
      </c>
      <c r="I24" s="13" t="s">
        <v>61</v>
      </c>
      <c r="J24" s="13" t="s">
        <v>62</v>
      </c>
    </row>
    <row r="25" customFormat="false" ht="15" hidden="false" customHeight="false" outlineLevel="0" collapsed="false">
      <c r="B25" s="14" t="s">
        <v>91</v>
      </c>
      <c r="C25" s="14" t="s">
        <v>92</v>
      </c>
      <c r="D25" s="15" t="s">
        <v>10</v>
      </c>
      <c r="E25" s="16" t="n">
        <f aca="false">1*INDEX(Parametros!$C$9:$F$50,MATCH("1B",Parametros!$B$9:$B$50,0),MATCH(Parametros!$C$5,Parametros!$C$8:$F$8,0))</f>
        <v>53.48</v>
      </c>
      <c r="F25" s="17" t="n">
        <v>0.83</v>
      </c>
      <c r="G25" s="16" t="n">
        <f aca="false">F25*Parametros!$C$4</f>
        <v>24.734</v>
      </c>
      <c r="H25" s="18" t="n">
        <v>0.154</v>
      </c>
      <c r="I25" s="19" t="n">
        <f aca="false">E25+G25</f>
        <v>78.214</v>
      </c>
      <c r="J25" s="20"/>
    </row>
    <row r="26" customFormat="false" ht="15" hidden="false" customHeight="false" outlineLevel="0" collapsed="false">
      <c r="B26" s="14" t="s">
        <v>93</v>
      </c>
      <c r="C26" s="14" t="s">
        <v>94</v>
      </c>
      <c r="D26" s="15" t="s">
        <v>10</v>
      </c>
      <c r="E26" s="16" t="n">
        <f aca="false">1*INDEX(Parametros!$C$9:$F$50,MATCH("1B",Parametros!$B$9:$B$50,0),MATCH(Parametros!$C$5,Parametros!$C$8:$F$8,0))</f>
        <v>53.48</v>
      </c>
      <c r="F26" s="17" t="n">
        <v>1.18</v>
      </c>
      <c r="G26" s="16" t="n">
        <f aca="false">F26*Parametros!$C$4</f>
        <v>35.164</v>
      </c>
      <c r="H26" s="18" t="n">
        <v>0.308</v>
      </c>
      <c r="I26" s="19" t="n">
        <f aca="false">E26+G26</f>
        <v>88.644</v>
      </c>
      <c r="J26" s="20"/>
    </row>
    <row r="27" customFormat="false" ht="15" hidden="false" customHeight="false" outlineLevel="0" collapsed="false">
      <c r="B27" s="14" t="s">
        <v>95</v>
      </c>
      <c r="C27" s="14" t="s">
        <v>96</v>
      </c>
      <c r="D27" s="15" t="s">
        <v>10</v>
      </c>
      <c r="E27" s="16" t="n">
        <f aca="false">1*INDEX(Parametros!$C$9:$F$50,MATCH("1B",Parametros!$B$9:$B$50,0),MATCH(Parametros!$C$5,Parametros!$C$8:$F$8,0))</f>
        <v>53.48</v>
      </c>
      <c r="F27" s="17" t="n">
        <v>1.31</v>
      </c>
      <c r="G27" s="16" t="n">
        <f aca="false">F27*Parametros!$C$4</f>
        <v>39.038</v>
      </c>
      <c r="H27" s="18" t="n">
        <v>0.1296</v>
      </c>
      <c r="I27" s="19" t="n">
        <f aca="false">E27+G27</f>
        <v>92.518</v>
      </c>
      <c r="J27" s="20"/>
    </row>
    <row r="28" customFormat="false" ht="15" hidden="false" customHeight="false" outlineLevel="0" collapsed="false">
      <c r="B28" s="14" t="s">
        <v>97</v>
      </c>
      <c r="C28" s="14" t="s">
        <v>98</v>
      </c>
      <c r="D28" s="15" t="s">
        <v>10</v>
      </c>
      <c r="E28" s="16" t="n">
        <f aca="false">1*INDEX(Parametros!$C$9:$F$50,MATCH("1B",Parametros!$B$9:$B$50,0),MATCH(Parametros!$C$5,Parametros!$C$8:$F$8,0))</f>
        <v>53.48</v>
      </c>
      <c r="F28" s="17" t="n">
        <v>1.4</v>
      </c>
      <c r="G28" s="16" t="n">
        <f aca="false">F28*Parametros!$C$4</f>
        <v>41.72</v>
      </c>
      <c r="H28" s="18" t="n">
        <v>0.24</v>
      </c>
      <c r="I28" s="19" t="n">
        <f aca="false">E28+G28</f>
        <v>95.2</v>
      </c>
      <c r="J28" s="20"/>
    </row>
    <row r="29" customFormat="false" ht="15" hidden="false" customHeight="false" outlineLevel="0" collapsed="false">
      <c r="B29" s="14" t="s">
        <v>99</v>
      </c>
      <c r="C29" s="14" t="s">
        <v>100</v>
      </c>
      <c r="D29" s="15" t="s">
        <v>10</v>
      </c>
      <c r="E29" s="16" t="n">
        <f aca="false">1*INDEX(Parametros!$C$9:$F$50,MATCH("1B",Parametros!$B$9:$B$50,0),MATCH(Parametros!$C$5,Parametros!$C$8:$F$8,0))</f>
        <v>53.48</v>
      </c>
      <c r="F29" s="17" t="n">
        <v>1.4</v>
      </c>
      <c r="G29" s="16" t="n">
        <f aca="false">F29*Parametros!$C$4</f>
        <v>41.72</v>
      </c>
      <c r="H29" s="18" t="n">
        <v>0.312</v>
      </c>
      <c r="I29" s="19" t="n">
        <f aca="false">E29+G29</f>
        <v>95.2</v>
      </c>
      <c r="J29" s="20"/>
    </row>
    <row r="30" customFormat="false" ht="15" hidden="false" customHeight="false" outlineLevel="0" collapsed="false">
      <c r="B30" s="14" t="s">
        <v>101</v>
      </c>
      <c r="C30" s="14" t="s">
        <v>102</v>
      </c>
      <c r="D30" s="15" t="s">
        <v>10</v>
      </c>
      <c r="E30" s="16" t="n">
        <f aca="false">1*INDEX(Parametros!$C$9:$F$50,MATCH("1B",Parametros!$B$9:$B$50,0),MATCH(Parametros!$C$5,Parametros!$C$8:$F$8,0))</f>
        <v>53.48</v>
      </c>
      <c r="F30" s="17" t="n">
        <v>1.31</v>
      </c>
      <c r="G30" s="16" t="n">
        <f aca="false">F30*Parametros!$C$4</f>
        <v>39.038</v>
      </c>
      <c r="H30" s="18" t="n">
        <v>0.144</v>
      </c>
      <c r="I30" s="19" t="n">
        <f aca="false">E30+G30</f>
        <v>92.518</v>
      </c>
      <c r="J30" s="20"/>
    </row>
    <row r="31" customFormat="false" ht="15" hidden="false" customHeight="false" outlineLevel="0" collapsed="false">
      <c r="B31" s="14" t="s">
        <v>103</v>
      </c>
      <c r="C31" s="14" t="s">
        <v>104</v>
      </c>
      <c r="D31" s="15" t="s">
        <v>10</v>
      </c>
      <c r="E31" s="16" t="n">
        <f aca="false">1*INDEX(Parametros!$C$9:$F$50,MATCH("1B",Parametros!$B$9:$B$50,0),MATCH(Parametros!$C$5,Parametros!$C$8:$F$8,0))</f>
        <v>53.48</v>
      </c>
      <c r="F31" s="17" t="n">
        <v>1.47</v>
      </c>
      <c r="G31" s="16" t="n">
        <f aca="false">F31*Parametros!$C$4</f>
        <v>43.806</v>
      </c>
      <c r="H31" s="18" t="n">
        <v>0.1296</v>
      </c>
      <c r="I31" s="19" t="n">
        <f aca="false">E31+G31</f>
        <v>97.286</v>
      </c>
      <c r="J31" s="20"/>
    </row>
    <row r="32" customFormat="false" ht="15" hidden="false" customHeight="false" outlineLevel="0" collapsed="false">
      <c r="B32" s="14" t="s">
        <v>105</v>
      </c>
      <c r="C32" s="14" t="s">
        <v>106</v>
      </c>
      <c r="D32" s="15" t="s">
        <v>10</v>
      </c>
      <c r="E32" s="16" t="n">
        <f aca="false">1*INDEX(Parametros!$C$9:$F$50,MATCH("1B",Parametros!$B$9:$B$50,0),MATCH(Parametros!$C$5,Parametros!$C$8:$F$8,0))</f>
        <v>53.48</v>
      </c>
      <c r="F32" s="17" t="n">
        <v>1.22</v>
      </c>
      <c r="G32" s="16" t="n">
        <f aca="false">F32*Parametros!$C$4</f>
        <v>36.356</v>
      </c>
      <c r="H32" s="18" t="n">
        <v>0.0864</v>
      </c>
      <c r="I32" s="19" t="n">
        <f aca="false">E32+G32</f>
        <v>89.836</v>
      </c>
      <c r="J32" s="20"/>
    </row>
    <row r="33" customFormat="false" ht="15" hidden="false" customHeight="false" outlineLevel="0" collapsed="false">
      <c r="B33" s="14" t="s">
        <v>107</v>
      </c>
      <c r="C33" s="14" t="s">
        <v>108</v>
      </c>
      <c r="D33" s="15" t="s">
        <v>10</v>
      </c>
      <c r="E33" s="16" t="n">
        <f aca="false">1*INDEX(Parametros!$C$9:$F$50,MATCH("1B",Parametros!$B$9:$B$50,0),MATCH(Parametros!$C$5,Parametros!$C$8:$F$8,0))</f>
        <v>53.48</v>
      </c>
      <c r="F33" s="17" t="n">
        <v>1.22</v>
      </c>
      <c r="G33" s="16" t="n">
        <f aca="false">F33*Parametros!$C$4</f>
        <v>36.356</v>
      </c>
      <c r="H33" s="18" t="n">
        <v>0.1728</v>
      </c>
      <c r="I33" s="19" t="n">
        <f aca="false">E33+G33</f>
        <v>89.836</v>
      </c>
      <c r="J33" s="20"/>
    </row>
    <row r="34" customFormat="false" ht="15" hidden="false" customHeight="false" outlineLevel="0" collapsed="false">
      <c r="B34" s="14" t="s">
        <v>109</v>
      </c>
      <c r="C34" s="14" t="s">
        <v>110</v>
      </c>
      <c r="D34" s="15" t="s">
        <v>10</v>
      </c>
      <c r="E34" s="16" t="n">
        <f aca="false">1*INDEX(Parametros!$C$9:$F$50,MATCH("1B",Parametros!$B$9:$B$50,0),MATCH(Parametros!$C$5,Parametros!$C$8:$F$8,0))</f>
        <v>53.48</v>
      </c>
      <c r="F34" s="17" t="n">
        <v>1.22</v>
      </c>
      <c r="G34" s="16" t="n">
        <f aca="false">F34*Parametros!$C$4</f>
        <v>36.356</v>
      </c>
      <c r="H34" s="18" t="n">
        <v>0.144</v>
      </c>
      <c r="I34" s="19" t="n">
        <f aca="false">E34+G34</f>
        <v>89.836</v>
      </c>
      <c r="J34" s="20"/>
    </row>
    <row r="35" customFormat="false" ht="15" hidden="false" customHeight="false" outlineLevel="0" collapsed="false">
      <c r="B35" s="14" t="s">
        <v>111</v>
      </c>
      <c r="C35" s="14" t="s">
        <v>112</v>
      </c>
      <c r="D35" s="15" t="s">
        <v>10</v>
      </c>
      <c r="E35" s="16" t="n">
        <f aca="false">1*INDEX(Parametros!$C$9:$F$50,MATCH("1B",Parametros!$B$9:$B$50,0),MATCH(Parametros!$C$5,Parametros!$C$8:$F$8,0))</f>
        <v>53.48</v>
      </c>
      <c r="F35" s="17" t="n">
        <v>1.31</v>
      </c>
      <c r="G35" s="16" t="n">
        <f aca="false">F35*Parametros!$C$4</f>
        <v>39.038</v>
      </c>
      <c r="H35" s="18" t="n">
        <v>0.0864</v>
      </c>
      <c r="I35" s="19" t="n">
        <f aca="false">E35+G35</f>
        <v>92.518</v>
      </c>
      <c r="J35" s="20"/>
    </row>
    <row r="36" customFormat="false" ht="15" hidden="false" customHeight="false" outlineLevel="0" collapsed="false">
      <c r="B36" s="14" t="s">
        <v>113</v>
      </c>
      <c r="C36" s="14" t="s">
        <v>114</v>
      </c>
      <c r="D36" s="15" t="s">
        <v>10</v>
      </c>
      <c r="E36" s="16" t="n">
        <f aca="false">1*INDEX(Parametros!$C$9:$F$50,MATCH("1B",Parametros!$B$9:$B$50,0),MATCH(Parametros!$C$5,Parametros!$C$8:$F$8,0))</f>
        <v>53.48</v>
      </c>
      <c r="F36" s="17" t="n">
        <v>1.31</v>
      </c>
      <c r="G36" s="16" t="n">
        <f aca="false">F36*Parametros!$C$4</f>
        <v>39.038</v>
      </c>
      <c r="H36" s="18" t="n">
        <v>0.192</v>
      </c>
      <c r="I36" s="19" t="n">
        <f aca="false">E36+G36</f>
        <v>92.518</v>
      </c>
      <c r="J36" s="20"/>
    </row>
    <row r="37" customFormat="false" ht="15" hidden="false" customHeight="false" outlineLevel="0" collapsed="false">
      <c r="B37" s="14" t="s">
        <v>115</v>
      </c>
      <c r="C37" s="14" t="s">
        <v>116</v>
      </c>
      <c r="D37" s="15" t="s">
        <v>10</v>
      </c>
      <c r="E37" s="16" t="n">
        <f aca="false">1*INDEX(Parametros!$C$9:$F$50,MATCH("1B",Parametros!$B$9:$B$50,0),MATCH(Parametros!$C$5,Parametros!$C$8:$F$8,0))</f>
        <v>53.48</v>
      </c>
      <c r="F37" s="17" t="n">
        <v>1.22</v>
      </c>
      <c r="G37" s="16" t="n">
        <f aca="false">F37*Parametros!$C$4</f>
        <v>36.356</v>
      </c>
      <c r="H37" s="18" t="n">
        <v>0.154</v>
      </c>
      <c r="I37" s="19" t="n">
        <f aca="false">E37+G37</f>
        <v>89.836</v>
      </c>
      <c r="J37" s="20"/>
    </row>
    <row r="38" customFormat="false" ht="15" hidden="false" customHeight="false" outlineLevel="0" collapsed="false">
      <c r="B38" s="14" t="s">
        <v>117</v>
      </c>
      <c r="C38" s="14" t="s">
        <v>118</v>
      </c>
      <c r="D38" s="15" t="s">
        <v>10</v>
      </c>
      <c r="E38" s="16" t="n">
        <f aca="false">1*INDEX(Parametros!$C$9:$F$50,MATCH("1B",Parametros!$B$9:$B$50,0),MATCH(Parametros!$C$5,Parametros!$C$8:$F$8,0))</f>
        <v>53.48</v>
      </c>
      <c r="F38" s="17" t="n">
        <v>1.22</v>
      </c>
      <c r="G38" s="16" t="n">
        <f aca="false">F38*Parametros!$C$4</f>
        <v>36.356</v>
      </c>
      <c r="H38" s="18" t="n">
        <v>0.144</v>
      </c>
      <c r="I38" s="19" t="n">
        <f aca="false">E38+G38</f>
        <v>89.836</v>
      </c>
      <c r="J38" s="20"/>
    </row>
    <row r="39" customFormat="false" ht="15" hidden="false" customHeight="false" outlineLevel="0" collapsed="false">
      <c r="B39" s="14" t="s">
        <v>119</v>
      </c>
      <c r="C39" s="14" t="s">
        <v>120</v>
      </c>
      <c r="D39" s="15" t="s">
        <v>10</v>
      </c>
      <c r="E39" s="16" t="n">
        <f aca="false">1*INDEX(Parametros!$C$9:$F$50,MATCH("1B",Parametros!$B$9:$B$50,0),MATCH(Parametros!$C$5,Parametros!$C$8:$F$8,0))</f>
        <v>53.48</v>
      </c>
      <c r="F39" s="17" t="n">
        <v>1.22</v>
      </c>
      <c r="G39" s="16" t="n">
        <f aca="false">F39*Parametros!$C$4</f>
        <v>36.356</v>
      </c>
      <c r="H39" s="18" t="n">
        <v>0.154</v>
      </c>
      <c r="I39" s="19" t="n">
        <f aca="false">E39+G39</f>
        <v>89.836</v>
      </c>
      <c r="J39" s="20"/>
    </row>
    <row r="40" customFormat="false" ht="15" hidden="false" customHeight="false" outlineLevel="0" collapsed="false">
      <c r="B40" s="14" t="s">
        <v>121</v>
      </c>
      <c r="C40" s="14" t="s">
        <v>122</v>
      </c>
      <c r="D40" s="15" t="s">
        <v>10</v>
      </c>
      <c r="E40" s="16" t="n">
        <f aca="false">1*INDEX(Parametros!$C$9:$F$50,MATCH("1B",Parametros!$B$9:$B$50,0),MATCH(Parametros!$C$5,Parametros!$C$8:$F$8,0))</f>
        <v>53.48</v>
      </c>
      <c r="F40" s="17" t="n">
        <v>1.22</v>
      </c>
      <c r="G40" s="16" t="n">
        <f aca="false">F40*Parametros!$C$4</f>
        <v>36.356</v>
      </c>
      <c r="H40" s="18" t="n">
        <v>0.072</v>
      </c>
      <c r="I40" s="19" t="n">
        <f aca="false">E40+G40</f>
        <v>89.836</v>
      </c>
      <c r="J40" s="20"/>
    </row>
    <row r="42" customFormat="false" ht="15" hidden="false" customHeight="false" outlineLevel="0" collapsed="false">
      <c r="B42" s="11" t="s">
        <v>123</v>
      </c>
      <c r="C42" s="12"/>
      <c r="D42" s="12"/>
      <c r="E42" s="12"/>
      <c r="F42" s="12"/>
      <c r="G42" s="12"/>
      <c r="H42" s="12"/>
      <c r="I42" s="12"/>
      <c r="J42" s="12"/>
    </row>
    <row r="43" customFormat="false" ht="22.35" hidden="false" customHeight="false" outlineLevel="0" collapsed="false">
      <c r="B43" s="13" t="s">
        <v>55</v>
      </c>
      <c r="C43" s="13" t="s">
        <v>56</v>
      </c>
      <c r="D43" s="13" t="s">
        <v>5</v>
      </c>
      <c r="E43" s="13" t="s">
        <v>57</v>
      </c>
      <c r="F43" s="13" t="s">
        <v>58</v>
      </c>
      <c r="G43" s="13" t="s">
        <v>59</v>
      </c>
      <c r="H43" s="13" t="s">
        <v>60</v>
      </c>
      <c r="I43" s="13" t="s">
        <v>61</v>
      </c>
      <c r="J43" s="13" t="s">
        <v>62</v>
      </c>
    </row>
    <row r="44" customFormat="false" ht="15" hidden="false" customHeight="false" outlineLevel="0" collapsed="false">
      <c r="B44" s="14" t="s">
        <v>124</v>
      </c>
      <c r="C44" s="14" t="s">
        <v>125</v>
      </c>
      <c r="D44" s="15" t="s">
        <v>14</v>
      </c>
      <c r="E44" s="16" t="n">
        <f aca="false">1*INDEX(Parametros!$C$9:$F$50,MATCH("2C",Parametros!$B$9:$B$50,0),MATCH(Parametros!$C$5,Parametros!$C$8:$F$8,0))</f>
        <v>166.92</v>
      </c>
      <c r="F44" s="17" t="n">
        <v>2.76</v>
      </c>
      <c r="G44" s="16" t="n">
        <f aca="false">F44*Parametros!$C$4</f>
        <v>82.248</v>
      </c>
      <c r="H44" s="18" t="n">
        <v>1.2</v>
      </c>
      <c r="I44" s="19" t="n">
        <f aca="false">E44+G44</f>
        <v>249.168</v>
      </c>
      <c r="J44" s="20"/>
    </row>
    <row r="45" customFormat="false" ht="15" hidden="false" customHeight="false" outlineLevel="0" collapsed="false">
      <c r="B45" s="14" t="s">
        <v>126</v>
      </c>
      <c r="C45" s="14" t="s">
        <v>127</v>
      </c>
      <c r="D45" s="15" t="s">
        <v>14</v>
      </c>
      <c r="E45" s="16" t="n">
        <f aca="false">1*INDEX(Parametros!$C$9:$F$50,MATCH("2C",Parametros!$B$9:$B$50,0),MATCH(Parametros!$C$5,Parametros!$C$8:$F$8,0))</f>
        <v>166.92</v>
      </c>
      <c r="F45" s="17" t="n">
        <v>6.48</v>
      </c>
      <c r="G45" s="16" t="n">
        <f aca="false">F45*Parametros!$C$4</f>
        <v>193.104</v>
      </c>
      <c r="H45" s="18" t="n">
        <v>1.2</v>
      </c>
      <c r="I45" s="19" t="n">
        <f aca="false">E45+G45</f>
        <v>360.024</v>
      </c>
      <c r="J45" s="20" t="s">
        <v>128</v>
      </c>
    </row>
    <row r="47" customFormat="false" ht="15" hidden="false" customHeight="false" outlineLevel="0" collapsed="false">
      <c r="B47" s="11" t="s">
        <v>129</v>
      </c>
      <c r="C47" s="12"/>
      <c r="D47" s="12"/>
      <c r="E47" s="12"/>
      <c r="F47" s="12"/>
      <c r="G47" s="12"/>
      <c r="H47" s="12"/>
      <c r="I47" s="12"/>
      <c r="J47" s="12"/>
    </row>
    <row r="48" customFormat="false" ht="22.35" hidden="false" customHeight="false" outlineLevel="0" collapsed="false">
      <c r="B48" s="13" t="s">
        <v>55</v>
      </c>
      <c r="C48" s="13" t="s">
        <v>56</v>
      </c>
      <c r="D48" s="13" t="s">
        <v>5</v>
      </c>
      <c r="E48" s="13" t="s">
        <v>57</v>
      </c>
      <c r="F48" s="13" t="s">
        <v>58</v>
      </c>
      <c r="G48" s="13" t="s">
        <v>59</v>
      </c>
      <c r="H48" s="13" t="s">
        <v>60</v>
      </c>
      <c r="I48" s="13" t="s">
        <v>61</v>
      </c>
      <c r="J48" s="13" t="s">
        <v>62</v>
      </c>
    </row>
    <row r="49" customFormat="false" ht="15" hidden="false" customHeight="false" outlineLevel="0" collapsed="false">
      <c r="B49" s="14" t="s">
        <v>130</v>
      </c>
      <c r="C49" s="14" t="s">
        <v>131</v>
      </c>
      <c r="D49" s="15" t="s">
        <v>15</v>
      </c>
      <c r="E49" s="16" t="n">
        <f aca="false">1*INDEX(Parametros!$C$9:$F$50,MATCH("3A",Parametros!$B$9:$B$50,0),MATCH(Parametros!$C$5,Parametros!$C$8:$F$8,0))</f>
        <v>228.07</v>
      </c>
      <c r="F49" s="17" t="n">
        <v>5.85</v>
      </c>
      <c r="G49" s="16" t="n">
        <f aca="false">F49*Parametros!$C$4</f>
        <v>174.33</v>
      </c>
      <c r="H49" s="18" t="n">
        <v>0.68</v>
      </c>
      <c r="I49" s="19" t="n">
        <f aca="false">E49+G49</f>
        <v>402.4</v>
      </c>
      <c r="J49" s="20"/>
    </row>
    <row r="50" customFormat="false" ht="15" hidden="false" customHeight="false" outlineLevel="0" collapsed="false">
      <c r="B50" s="14" t="s">
        <v>132</v>
      </c>
      <c r="C50" s="14" t="s">
        <v>133</v>
      </c>
      <c r="D50" s="15" t="s">
        <v>14</v>
      </c>
      <c r="E50" s="16" t="n">
        <f aca="false">1*INDEX(Parametros!$C$9:$F$50,MATCH("2C",Parametros!$B$9:$B$50,0),MATCH(Parametros!$C$5,Parametros!$C$8:$F$8,0))</f>
        <v>166.92</v>
      </c>
      <c r="F50" s="17" t="n">
        <v>3.86</v>
      </c>
      <c r="G50" s="16" t="n">
        <f aca="false">F50*Parametros!$C$4</f>
        <v>115.028</v>
      </c>
      <c r="H50" s="18" t="n">
        <v>0.51</v>
      </c>
      <c r="I50" s="19" t="n">
        <f aca="false">E50+G50</f>
        <v>281.948</v>
      </c>
      <c r="J50" s="20"/>
    </row>
    <row r="51" customFormat="false" ht="15" hidden="false" customHeight="false" outlineLevel="0" collapsed="false">
      <c r="B51" s="14" t="s">
        <v>134</v>
      </c>
      <c r="C51" s="14" t="s">
        <v>135</v>
      </c>
      <c r="D51" s="15" t="s">
        <v>13</v>
      </c>
      <c r="E51" s="16" t="n">
        <f aca="false">1*INDEX(Parametros!$C$9:$F$50,MATCH("2B",Parametros!$B$9:$B$50,0),MATCH(Parametros!$C$5,Parametros!$C$8:$F$8,0))</f>
        <v>141.05</v>
      </c>
      <c r="F51" s="17" t="n">
        <v>3.78</v>
      </c>
      <c r="G51" s="16" t="n">
        <f aca="false">F51*Parametros!$C$4</f>
        <v>112.644</v>
      </c>
      <c r="H51" s="18" t="n">
        <v>0.34</v>
      </c>
      <c r="I51" s="19" t="n">
        <f aca="false">E51+G51</f>
        <v>253.694</v>
      </c>
      <c r="J51" s="20"/>
    </row>
    <row r="52" customFormat="false" ht="15" hidden="false" customHeight="false" outlineLevel="0" collapsed="false">
      <c r="B52" s="14" t="s">
        <v>136</v>
      </c>
      <c r="C52" s="14" t="s">
        <v>137</v>
      </c>
      <c r="D52" s="15" t="s">
        <v>12</v>
      </c>
      <c r="E52" s="16" t="n">
        <f aca="false">1*INDEX(Parametros!$C$9:$F$50,MATCH("2A",Parametros!$B$9:$B$50,0),MATCH(Parametros!$C$5,Parametros!$C$8:$F$8,0))</f>
        <v>107</v>
      </c>
      <c r="F52" s="17" t="n">
        <v>3.42</v>
      </c>
      <c r="G52" s="16" t="n">
        <f aca="false">F52*Parametros!$C$4</f>
        <v>101.916</v>
      </c>
      <c r="H52" s="18" t="n">
        <v>0.17</v>
      </c>
      <c r="I52" s="19" t="n">
        <f aca="false">E52+G52</f>
        <v>208.916</v>
      </c>
      <c r="J52" s="20" t="s">
        <v>138</v>
      </c>
    </row>
    <row r="53" customFormat="false" ht="15" hidden="false" customHeight="false" outlineLevel="0" collapsed="false">
      <c r="B53" s="14" t="s">
        <v>139</v>
      </c>
      <c r="C53" s="14" t="s">
        <v>140</v>
      </c>
      <c r="D53" s="15" t="s">
        <v>13</v>
      </c>
      <c r="E53" s="16" t="n">
        <f aca="false">1*INDEX(Parametros!$C$9:$F$50,MATCH("2B",Parametros!$B$9:$B$50,0),MATCH(Parametros!$C$5,Parametros!$C$8:$F$8,0))</f>
        <v>141.05</v>
      </c>
      <c r="F53" s="17" t="n">
        <v>3.42</v>
      </c>
      <c r="G53" s="16" t="n">
        <f aca="false">F53*Parametros!$C$4</f>
        <v>101.916</v>
      </c>
      <c r="H53" s="18" t="n">
        <v>0.34</v>
      </c>
      <c r="I53" s="19" t="n">
        <f aca="false">E53+G53</f>
        <v>242.966</v>
      </c>
      <c r="J53" s="20"/>
    </row>
    <row r="54" customFormat="false" ht="15" hidden="false" customHeight="false" outlineLevel="0" collapsed="false">
      <c r="B54" s="14" t="s">
        <v>141</v>
      </c>
      <c r="C54" s="14" t="s">
        <v>142</v>
      </c>
      <c r="D54" s="15" t="s">
        <v>12</v>
      </c>
      <c r="E54" s="16" t="n">
        <f aca="false">1*INDEX(Parametros!$C$9:$F$50,MATCH("2A",Parametros!$B$9:$B$50,0),MATCH(Parametros!$C$5,Parametros!$C$8:$F$8,0))</f>
        <v>107</v>
      </c>
      <c r="F54" s="17" t="n">
        <v>2.65</v>
      </c>
      <c r="G54" s="16" t="n">
        <f aca="false">F54*Parametros!$C$4</f>
        <v>78.97</v>
      </c>
      <c r="H54" s="18" t="n">
        <v>0.17</v>
      </c>
      <c r="I54" s="19" t="n">
        <f aca="false">E54+G54</f>
        <v>185.97</v>
      </c>
      <c r="J54" s="20"/>
    </row>
    <row r="55" customFormat="false" ht="15" hidden="false" customHeight="false" outlineLevel="0" collapsed="false">
      <c r="B55" s="14" t="s">
        <v>143</v>
      </c>
      <c r="C55" s="14" t="s">
        <v>144</v>
      </c>
      <c r="D55" s="15" t="s">
        <v>15</v>
      </c>
      <c r="E55" s="16" t="n">
        <f aca="false">1*INDEX(Parametros!$C$9:$F$50,MATCH("3A",Parametros!$B$9:$B$50,0),MATCH(Parametros!$C$5,Parametros!$C$8:$F$8,0))</f>
        <v>228.07</v>
      </c>
      <c r="F55" s="17" t="n">
        <v>6.27</v>
      </c>
      <c r="G55" s="16" t="n">
        <f aca="false">F55*Parametros!$C$4</f>
        <v>186.846</v>
      </c>
      <c r="H55" s="18" t="n">
        <v>0.51</v>
      </c>
      <c r="I55" s="19" t="n">
        <f aca="false">E55+G55</f>
        <v>414.916</v>
      </c>
      <c r="J55" s="20"/>
    </row>
    <row r="56" customFormat="false" ht="15" hidden="false" customHeight="false" outlineLevel="0" collapsed="false">
      <c r="B56" s="14" t="s">
        <v>145</v>
      </c>
      <c r="C56" s="14" t="s">
        <v>146</v>
      </c>
      <c r="D56" s="15" t="s">
        <v>13</v>
      </c>
      <c r="E56" s="16" t="n">
        <f aca="false">1*INDEX(Parametros!$C$9:$F$50,MATCH("2B",Parametros!$B$9:$B$50,0),MATCH(Parametros!$C$5,Parametros!$C$8:$F$8,0))</f>
        <v>141.05</v>
      </c>
      <c r="F56" s="17" t="n">
        <v>3.82</v>
      </c>
      <c r="G56" s="16" t="n">
        <f aca="false">F56*Parametros!$C$4</f>
        <v>113.836</v>
      </c>
      <c r="H56" s="18" t="n">
        <v>0.17</v>
      </c>
      <c r="I56" s="19" t="n">
        <f aca="false">E56+G56</f>
        <v>254.886</v>
      </c>
      <c r="J56" s="20"/>
    </row>
    <row r="57" customFormat="false" ht="15" hidden="false" customHeight="false" outlineLevel="0" collapsed="false">
      <c r="B57" s="14" t="s">
        <v>147</v>
      </c>
      <c r="C57" s="14" t="s">
        <v>148</v>
      </c>
      <c r="D57" s="15" t="s">
        <v>13</v>
      </c>
      <c r="E57" s="16" t="n">
        <f aca="false">1*INDEX(Parametros!$C$9:$F$50,MATCH("2B",Parametros!$B$9:$B$50,0),MATCH(Parametros!$C$5,Parametros!$C$8:$F$8,0))</f>
        <v>141.05</v>
      </c>
      <c r="F57" s="17" t="n">
        <v>3.86</v>
      </c>
      <c r="G57" s="16" t="n">
        <f aca="false">F57*Parametros!$C$4</f>
        <v>115.028</v>
      </c>
      <c r="H57" s="18" t="n">
        <v>0.51</v>
      </c>
      <c r="I57" s="19" t="n">
        <f aca="false">E57+G57</f>
        <v>256.078</v>
      </c>
      <c r="J57" s="20"/>
    </row>
    <row r="58" customFormat="false" ht="15" hidden="false" customHeight="false" outlineLevel="0" collapsed="false">
      <c r="B58" s="14" t="s">
        <v>149</v>
      </c>
      <c r="C58" s="14" t="s">
        <v>150</v>
      </c>
      <c r="D58" s="15" t="s">
        <v>13</v>
      </c>
      <c r="E58" s="16" t="n">
        <f aca="false">1*INDEX(Parametros!$C$9:$F$50,MATCH("2B",Parametros!$B$9:$B$50,0),MATCH(Parametros!$C$5,Parametros!$C$8:$F$8,0))</f>
        <v>141.05</v>
      </c>
      <c r="F58" s="17" t="n">
        <v>3.41</v>
      </c>
      <c r="G58" s="16" t="n">
        <f aca="false">F58*Parametros!$C$4</f>
        <v>101.618</v>
      </c>
      <c r="H58" s="18" t="n">
        <v>0.51</v>
      </c>
      <c r="I58" s="19" t="n">
        <f aca="false">E58+G58</f>
        <v>242.668</v>
      </c>
      <c r="J58" s="20"/>
    </row>
    <row r="59" customFormat="false" ht="15" hidden="false" customHeight="false" outlineLevel="0" collapsed="false">
      <c r="B59" s="14" t="s">
        <v>151</v>
      </c>
      <c r="C59" s="14" t="s">
        <v>152</v>
      </c>
      <c r="D59" s="15" t="s">
        <v>15</v>
      </c>
      <c r="E59" s="16" t="n">
        <f aca="false">1*INDEX(Parametros!$C$9:$F$50,MATCH("3A",Parametros!$B$9:$B$50,0),MATCH(Parametros!$C$5,Parametros!$C$8:$F$8,0))</f>
        <v>228.07</v>
      </c>
      <c r="F59" s="17" t="n">
        <v>5.68</v>
      </c>
      <c r="G59" s="16" t="n">
        <f aca="false">F59*Parametros!$C$4</f>
        <v>169.264</v>
      </c>
      <c r="H59" s="18" t="n">
        <v>0.34</v>
      </c>
      <c r="I59" s="19" t="n">
        <f aca="false">E59+G59</f>
        <v>397.334</v>
      </c>
      <c r="J59" s="20"/>
    </row>
    <row r="60" customFormat="false" ht="15" hidden="false" customHeight="false" outlineLevel="0" collapsed="false">
      <c r="B60" s="14" t="s">
        <v>153</v>
      </c>
      <c r="C60" s="14" t="s">
        <v>154</v>
      </c>
      <c r="D60" s="15" t="s">
        <v>13</v>
      </c>
      <c r="E60" s="16" t="n">
        <f aca="false">1*INDEX(Parametros!$C$9:$F$50,MATCH("2B",Parametros!$B$9:$B$50,0),MATCH(Parametros!$C$5,Parametros!$C$8:$F$8,0))</f>
        <v>141.05</v>
      </c>
      <c r="F60" s="17" t="n">
        <v>3.42</v>
      </c>
      <c r="G60" s="16" t="n">
        <f aca="false">F60*Parametros!$C$4</f>
        <v>101.916</v>
      </c>
      <c r="H60" s="18" t="n">
        <v>0.34</v>
      </c>
      <c r="I60" s="19" t="n">
        <f aca="false">E60+G60</f>
        <v>242.966</v>
      </c>
      <c r="J60" s="20"/>
    </row>
    <row r="61" customFormat="false" ht="15" hidden="false" customHeight="false" outlineLevel="0" collapsed="false">
      <c r="B61" s="14" t="s">
        <v>155</v>
      </c>
      <c r="C61" s="14" t="s">
        <v>156</v>
      </c>
      <c r="D61" s="15" t="s">
        <v>12</v>
      </c>
      <c r="E61" s="16" t="n">
        <f aca="false">1*INDEX(Parametros!$C$9:$F$50,MATCH("2A",Parametros!$B$9:$B$50,0),MATCH(Parametros!$C$5,Parametros!$C$8:$F$8,0))</f>
        <v>107</v>
      </c>
      <c r="F61" s="17" t="n">
        <v>3.42</v>
      </c>
      <c r="G61" s="16" t="n">
        <f aca="false">F61*Parametros!$C$4</f>
        <v>101.916</v>
      </c>
      <c r="H61" s="18" t="n">
        <v>0.17</v>
      </c>
      <c r="I61" s="19" t="n">
        <f aca="false">E61+G61</f>
        <v>208.916</v>
      </c>
      <c r="J61" s="20"/>
    </row>
    <row r="62" customFormat="false" ht="15" hidden="false" customHeight="false" outlineLevel="0" collapsed="false">
      <c r="B62" s="14" t="s">
        <v>157</v>
      </c>
      <c r="C62" s="14" t="s">
        <v>158</v>
      </c>
      <c r="D62" s="15" t="s">
        <v>18</v>
      </c>
      <c r="E62" s="16" t="n">
        <f aca="false">1*INDEX(Parametros!$C$9:$F$50,MATCH("4A",Parametros!$B$9:$B$50,0),MATCH(Parametros!$C$5,Parametros!$C$8:$F$8,0))</f>
        <v>397.28</v>
      </c>
      <c r="F62" s="17" t="n">
        <v>8.26</v>
      </c>
      <c r="G62" s="16" t="n">
        <f aca="false">F62*Parametros!$C$4</f>
        <v>246.148</v>
      </c>
      <c r="H62" s="18" t="n">
        <v>0.68</v>
      </c>
      <c r="I62" s="19" t="n">
        <f aca="false">E62+G62</f>
        <v>643.428</v>
      </c>
      <c r="J62" s="20"/>
    </row>
    <row r="63" customFormat="false" ht="15" hidden="false" customHeight="false" outlineLevel="0" collapsed="false">
      <c r="B63" s="14" t="s">
        <v>159</v>
      </c>
      <c r="C63" s="14" t="s">
        <v>160</v>
      </c>
      <c r="D63" s="15" t="s">
        <v>21</v>
      </c>
      <c r="E63" s="16" t="n">
        <f aca="false">1*INDEX(Parametros!$C$9:$F$50,MATCH("5A",Parametros!$B$9:$B$50,0),MATCH(Parametros!$C$5,Parametros!$C$8:$F$8,0))</f>
        <v>528.93</v>
      </c>
      <c r="F63" s="17" t="n">
        <v>10.81</v>
      </c>
      <c r="G63" s="16" t="n">
        <f aca="false">F63*Parametros!$C$4</f>
        <v>322.138</v>
      </c>
      <c r="H63" s="18" t="n">
        <v>0.51</v>
      </c>
      <c r="I63" s="19" t="n">
        <f aca="false">E63+G63</f>
        <v>851.068</v>
      </c>
      <c r="J63" s="20"/>
    </row>
    <row r="64" customFormat="false" ht="15" hidden="false" customHeight="false" outlineLevel="0" collapsed="false">
      <c r="B64" s="14" t="s">
        <v>161</v>
      </c>
      <c r="C64" s="14" t="s">
        <v>162</v>
      </c>
      <c r="D64" s="15" t="s">
        <v>21</v>
      </c>
      <c r="E64" s="16" t="n">
        <f aca="false">1*INDEX(Parametros!$C$9:$F$50,MATCH("5A",Parametros!$B$9:$B$50,0),MATCH(Parametros!$C$5,Parametros!$C$8:$F$8,0))</f>
        <v>528.93</v>
      </c>
      <c r="F64" s="17" t="n">
        <v>8.26</v>
      </c>
      <c r="G64" s="16" t="n">
        <f aca="false">F64*Parametros!$C$4</f>
        <v>246.148</v>
      </c>
      <c r="H64" s="18" t="n">
        <v>0.51</v>
      </c>
      <c r="I64" s="19" t="n">
        <f aca="false">E64+G64</f>
        <v>775.078</v>
      </c>
      <c r="J64" s="20"/>
    </row>
    <row r="65" customFormat="false" ht="15" hidden="false" customHeight="false" outlineLevel="0" collapsed="false">
      <c r="B65" s="14" t="s">
        <v>163</v>
      </c>
      <c r="C65" s="14" t="s">
        <v>164</v>
      </c>
      <c r="D65" s="15" t="s">
        <v>17</v>
      </c>
      <c r="E65" s="16" t="n">
        <f aca="false">1*INDEX(Parametros!$C$9:$F$50,MATCH("3C",Parametros!$B$9:$B$50,0),MATCH(Parametros!$C$5,Parametros!$C$8:$F$8,0))</f>
        <v>333.81</v>
      </c>
      <c r="F65" s="17" t="n">
        <v>8.26</v>
      </c>
      <c r="G65" s="16" t="n">
        <f aca="false">F65*Parametros!$C$4</f>
        <v>246.148</v>
      </c>
      <c r="H65" s="18" t="n">
        <v>0.34</v>
      </c>
      <c r="I65" s="19" t="n">
        <f aca="false">E65+G65</f>
        <v>579.958</v>
      </c>
      <c r="J65" s="20"/>
    </row>
    <row r="67" customFormat="false" ht="15" hidden="false" customHeight="false" outlineLevel="0" collapsed="false">
      <c r="B67" s="11" t="s">
        <v>165</v>
      </c>
      <c r="C67" s="12"/>
      <c r="D67" s="12"/>
      <c r="E67" s="12"/>
      <c r="F67" s="12"/>
      <c r="G67" s="12"/>
      <c r="H67" s="12"/>
      <c r="I67" s="12"/>
      <c r="J67" s="12"/>
    </row>
    <row r="68" customFormat="false" ht="22.35" hidden="false" customHeight="false" outlineLevel="0" collapsed="false">
      <c r="B68" s="13" t="s">
        <v>55</v>
      </c>
      <c r="C68" s="13" t="s">
        <v>56</v>
      </c>
      <c r="D68" s="13" t="s">
        <v>5</v>
      </c>
      <c r="E68" s="13" t="s">
        <v>57</v>
      </c>
      <c r="F68" s="13" t="s">
        <v>58</v>
      </c>
      <c r="G68" s="13" t="s">
        <v>59</v>
      </c>
      <c r="H68" s="13" t="s">
        <v>60</v>
      </c>
      <c r="I68" s="13" t="s">
        <v>61</v>
      </c>
      <c r="J68" s="13" t="s">
        <v>62</v>
      </c>
    </row>
    <row r="69" customFormat="false" ht="15" hidden="false" customHeight="false" outlineLevel="0" collapsed="false">
      <c r="B69" s="14" t="s">
        <v>166</v>
      </c>
      <c r="C69" s="14" t="s">
        <v>167</v>
      </c>
      <c r="D69" s="15" t="s">
        <v>12</v>
      </c>
      <c r="E69" s="16" t="n">
        <f aca="false">1*INDEX(Parametros!$C$9:$F$50,MATCH("2A",Parametros!$B$9:$B$50,0),MATCH(Parametros!$C$5,Parametros!$C$8:$F$8,0))</f>
        <v>107</v>
      </c>
      <c r="F69" s="17" t="n">
        <v>12</v>
      </c>
      <c r="G69" s="16" t="n">
        <f aca="false">F69*Parametros!$C$4</f>
        <v>357.6</v>
      </c>
      <c r="H69" s="14"/>
      <c r="I69" s="19" t="n">
        <f aca="false">E69+G69</f>
        <v>464.6</v>
      </c>
      <c r="J69" s="20"/>
    </row>
    <row r="70" customFormat="false" ht="15" hidden="false" customHeight="false" outlineLevel="0" collapsed="false">
      <c r="B70" s="14" t="s">
        <v>168</v>
      </c>
      <c r="C70" s="14" t="s">
        <v>169</v>
      </c>
      <c r="D70" s="15" t="s">
        <v>12</v>
      </c>
      <c r="E70" s="16" t="n">
        <f aca="false">1*INDEX(Parametros!$C$9:$F$50,MATCH("2A",Parametros!$B$9:$B$50,0),MATCH(Parametros!$C$5,Parametros!$C$8:$F$8,0))</f>
        <v>107</v>
      </c>
      <c r="F70" s="17" t="n">
        <v>12</v>
      </c>
      <c r="G70" s="16" t="n">
        <f aca="false">F70*Parametros!$C$4</f>
        <v>357.6</v>
      </c>
      <c r="H70" s="14"/>
      <c r="I70" s="19" t="n">
        <f aca="false">E70+G70</f>
        <v>464.6</v>
      </c>
      <c r="J70" s="20"/>
    </row>
    <row r="71" customFormat="false" ht="15" hidden="false" customHeight="false" outlineLevel="0" collapsed="false">
      <c r="B71" s="14" t="s">
        <v>170</v>
      </c>
      <c r="C71" s="14" t="s">
        <v>171</v>
      </c>
      <c r="D71" s="15" t="s">
        <v>12</v>
      </c>
      <c r="E71" s="16" t="n">
        <f aca="false">1*INDEX(Parametros!$C$9:$F$50,MATCH("2A",Parametros!$B$9:$B$50,0),MATCH(Parametros!$C$5,Parametros!$C$8:$F$8,0))</f>
        <v>107</v>
      </c>
      <c r="F71" s="17" t="n">
        <v>8.1</v>
      </c>
      <c r="G71" s="16" t="n">
        <f aca="false">F71*Parametros!$C$4</f>
        <v>241.38</v>
      </c>
      <c r="H71" s="14"/>
      <c r="I71" s="19" t="n">
        <f aca="false">E71+G71</f>
        <v>348.38</v>
      </c>
      <c r="J71" s="20"/>
    </row>
    <row r="72" customFormat="false" ht="15" hidden="false" customHeight="false" outlineLevel="0" collapsed="false">
      <c r="B72" s="14" t="s">
        <v>172</v>
      </c>
      <c r="C72" s="14" t="s">
        <v>173</v>
      </c>
      <c r="D72" s="15" t="s">
        <v>10</v>
      </c>
      <c r="E72" s="16" t="n">
        <f aca="false">1*INDEX(Parametros!$C$9:$F$50,MATCH("1B",Parametros!$B$9:$B$50,0),MATCH(Parametros!$C$5,Parametros!$C$8:$F$8,0))</f>
        <v>53.48</v>
      </c>
      <c r="F72" s="17" t="n">
        <v>0.75</v>
      </c>
      <c r="G72" s="16" t="n">
        <f aca="false">F72*Parametros!$C$4</f>
        <v>22.35</v>
      </c>
      <c r="H72" s="14"/>
      <c r="I72" s="19" t="n">
        <f aca="false">E72+G72</f>
        <v>75.83</v>
      </c>
      <c r="J72" s="20"/>
    </row>
    <row r="73" customFormat="false" ht="15" hidden="false" customHeight="false" outlineLevel="0" collapsed="false">
      <c r="B73" s="14" t="s">
        <v>174</v>
      </c>
      <c r="C73" s="14" t="s">
        <v>175</v>
      </c>
      <c r="D73" s="15" t="s">
        <v>21</v>
      </c>
      <c r="E73" s="16" t="n">
        <f aca="false">1*INDEX(Parametros!$C$9:$F$50,MATCH("5A",Parametros!$B$9:$B$50,0),MATCH(Parametros!$C$5,Parametros!$C$8:$F$8,0))</f>
        <v>528.93</v>
      </c>
      <c r="F73" s="17" t="n">
        <v>14.834</v>
      </c>
      <c r="G73" s="16" t="n">
        <f aca="false">F73*Parametros!$C$4</f>
        <v>442.0532</v>
      </c>
      <c r="H73" s="14"/>
      <c r="I73" s="19" t="n">
        <f aca="false">E73+G73</f>
        <v>970.9832</v>
      </c>
      <c r="J73" s="20" t="s">
        <v>176</v>
      </c>
    </row>
    <row r="74" customFormat="false" ht="15" hidden="false" customHeight="false" outlineLevel="0" collapsed="false">
      <c r="B74" s="14" t="s">
        <v>177</v>
      </c>
      <c r="C74" s="14" t="s">
        <v>178</v>
      </c>
      <c r="D74" s="15" t="s">
        <v>23</v>
      </c>
      <c r="E74" s="16" t="n">
        <f aca="false">1*INDEX(Parametros!$C$9:$F$50,MATCH("5C",Parametros!$B$9:$B$50,0),MATCH(Parametros!$C$5,Parametros!$C$8:$F$8,0))</f>
        <v>606.5</v>
      </c>
      <c r="F74" s="17" t="n">
        <v>22.561</v>
      </c>
      <c r="G74" s="16" t="n">
        <f aca="false">F74*Parametros!$C$4</f>
        <v>672.3178</v>
      </c>
      <c r="H74" s="14"/>
      <c r="I74" s="19" t="n">
        <f aca="false">E74+G74</f>
        <v>1278.8178</v>
      </c>
      <c r="J74" s="20" t="s">
        <v>179</v>
      </c>
    </row>
    <row r="75" customFormat="false" ht="15" hidden="false" customHeight="false" outlineLevel="0" collapsed="false">
      <c r="B75" s="14" t="s">
        <v>180</v>
      </c>
      <c r="C75" s="14" t="s">
        <v>181</v>
      </c>
      <c r="D75" s="15" t="s">
        <v>13</v>
      </c>
      <c r="E75" s="16" t="n">
        <f aca="false">1*INDEX(Parametros!$C$9:$F$50,MATCH("2B",Parametros!$B$9:$B$50,0),MATCH(Parametros!$C$5,Parametros!$C$8:$F$8,0))</f>
        <v>141.05</v>
      </c>
      <c r="F75" s="17" t="n">
        <v>4</v>
      </c>
      <c r="G75" s="16" t="n">
        <f aca="false">F75*Parametros!$C$4</f>
        <v>119.2</v>
      </c>
      <c r="H75" s="14"/>
      <c r="I75" s="19" t="n">
        <f aca="false">E75+G75</f>
        <v>260.25</v>
      </c>
      <c r="J75" s="20"/>
    </row>
    <row r="76" customFormat="false" ht="15" hidden="false" customHeight="false" outlineLevel="0" collapsed="false">
      <c r="B76" s="14" t="s">
        <v>182</v>
      </c>
      <c r="C76" s="14" t="s">
        <v>183</v>
      </c>
      <c r="D76" s="15" t="s">
        <v>16</v>
      </c>
      <c r="E76" s="16" t="n">
        <f aca="false">1*INDEX(Parametros!$C$9:$F$50,MATCH("3B",Parametros!$B$9:$B$50,0),MATCH(Parametros!$C$5,Parametros!$C$8:$F$8,0))</f>
        <v>291.5</v>
      </c>
      <c r="F76" s="17" t="n">
        <v>11</v>
      </c>
      <c r="G76" s="16" t="n">
        <f aca="false">F76*Parametros!$C$4</f>
        <v>327.8</v>
      </c>
      <c r="H76" s="14"/>
      <c r="I76" s="19" t="n">
        <f aca="false">E76+G76</f>
        <v>619.3</v>
      </c>
      <c r="J76" s="20"/>
    </row>
    <row r="78" customFormat="false" ht="15" hidden="false" customHeight="false" outlineLevel="0" collapsed="false">
      <c r="B78" s="11" t="s">
        <v>184</v>
      </c>
      <c r="C78" s="12"/>
      <c r="D78" s="12"/>
      <c r="E78" s="12"/>
      <c r="F78" s="12"/>
      <c r="G78" s="12"/>
      <c r="H78" s="12"/>
      <c r="I78" s="12"/>
      <c r="J78" s="12"/>
    </row>
    <row r="79" customFormat="false" ht="22.35" hidden="false" customHeight="false" outlineLevel="0" collapsed="false">
      <c r="B79" s="13" t="s">
        <v>55</v>
      </c>
      <c r="C79" s="13" t="s">
        <v>56</v>
      </c>
      <c r="D79" s="13" t="s">
        <v>5</v>
      </c>
      <c r="E79" s="13" t="s">
        <v>57</v>
      </c>
      <c r="F79" s="13" t="s">
        <v>58</v>
      </c>
      <c r="G79" s="13" t="s">
        <v>59</v>
      </c>
      <c r="H79" s="13" t="s">
        <v>60</v>
      </c>
      <c r="I79" s="13" t="s">
        <v>61</v>
      </c>
      <c r="J79" s="13" t="s">
        <v>62</v>
      </c>
    </row>
    <row r="80" customFormat="false" ht="15" hidden="false" customHeight="false" outlineLevel="0" collapsed="false">
      <c r="B80" s="14" t="s">
        <v>185</v>
      </c>
      <c r="C80" s="14" t="s">
        <v>186</v>
      </c>
      <c r="D80" s="15" t="s">
        <v>187</v>
      </c>
      <c r="E80" s="16" t="n">
        <f aca="false">0.01*INDEX(Parametros!$C$9:$F$50,MATCH("1A",Parametros!$B$9:$B$50,0),MATCH(Parametros!$C$5,Parametros!$C$8:$F$8,0))</f>
        <v>0.2674</v>
      </c>
      <c r="F80" s="17" t="n">
        <v>0.87</v>
      </c>
      <c r="G80" s="16" t="n">
        <f aca="false">F80*Parametros!$C$4</f>
        <v>25.926</v>
      </c>
      <c r="H80" s="14"/>
      <c r="I80" s="19" t="n">
        <f aca="false">E80+G80</f>
        <v>26.1934</v>
      </c>
      <c r="J80" s="20"/>
    </row>
    <row r="81" customFormat="false" ht="15" hidden="false" customHeight="false" outlineLevel="0" collapsed="false">
      <c r="B81" s="14" t="s">
        <v>188</v>
      </c>
      <c r="C81" s="14" t="s">
        <v>189</v>
      </c>
      <c r="D81" s="15" t="s">
        <v>187</v>
      </c>
      <c r="E81" s="16" t="n">
        <f aca="false">0.01*INDEX(Parametros!$C$9:$F$50,MATCH("1A",Parametros!$B$9:$B$50,0),MATCH(Parametros!$C$5,Parametros!$C$8:$F$8,0))</f>
        <v>0.2674</v>
      </c>
      <c r="F81" s="17" t="n">
        <v>0.387</v>
      </c>
      <c r="G81" s="16" t="n">
        <f aca="false">F81*Parametros!$C$4</f>
        <v>11.5326</v>
      </c>
      <c r="H81" s="14"/>
      <c r="I81" s="19" t="n">
        <f aca="false">E81+G81</f>
        <v>11.8</v>
      </c>
      <c r="J81" s="20"/>
    </row>
    <row r="82" customFormat="false" ht="15" hidden="false" customHeight="false" outlineLevel="0" collapsed="false">
      <c r="B82" s="14" t="s">
        <v>190</v>
      </c>
      <c r="C82" s="14" t="s">
        <v>191</v>
      </c>
      <c r="D82" s="15" t="s">
        <v>192</v>
      </c>
      <c r="E82" s="16" t="n">
        <f aca="false">0.1*INDEX(Parametros!$C$9:$F$50,MATCH("1A",Parametros!$B$9:$B$50,0),MATCH(Parametros!$C$5,Parametros!$C$8:$F$8,0))</f>
        <v>2.674</v>
      </c>
      <c r="F82" s="17" t="n">
        <v>3.267</v>
      </c>
      <c r="G82" s="16" t="n">
        <f aca="false">F82*Parametros!$C$4</f>
        <v>97.3566</v>
      </c>
      <c r="H82" s="14"/>
      <c r="I82" s="19" t="n">
        <f aca="false">E82+G82</f>
        <v>100.0306</v>
      </c>
      <c r="J82" s="20"/>
    </row>
    <row r="83" customFormat="false" ht="15" hidden="false" customHeight="false" outlineLevel="0" collapsed="false">
      <c r="B83" s="14" t="s">
        <v>193</v>
      </c>
      <c r="C83" s="14" t="s">
        <v>194</v>
      </c>
      <c r="D83" s="15" t="s">
        <v>187</v>
      </c>
      <c r="E83" s="16" t="n">
        <f aca="false">0.01*INDEX(Parametros!$C$9:$F$50,MATCH("1A",Parametros!$B$9:$B$50,0),MATCH(Parametros!$C$5,Parametros!$C$8:$F$8,0))</f>
        <v>0.2674</v>
      </c>
      <c r="F83" s="17" t="n">
        <v>0.387</v>
      </c>
      <c r="G83" s="16" t="n">
        <f aca="false">F83*Parametros!$C$4</f>
        <v>11.5326</v>
      </c>
      <c r="H83" s="14"/>
      <c r="I83" s="19" t="n">
        <f aca="false">E83+G83</f>
        <v>11.8</v>
      </c>
      <c r="J83" s="20"/>
    </row>
    <row r="84" customFormat="false" ht="15" hidden="false" customHeight="false" outlineLevel="0" collapsed="false">
      <c r="B84" s="14" t="s">
        <v>195</v>
      </c>
      <c r="C84" s="14" t="s">
        <v>196</v>
      </c>
      <c r="D84" s="15" t="s">
        <v>187</v>
      </c>
      <c r="E84" s="16" t="n">
        <f aca="false">0.01*INDEX(Parametros!$C$9:$F$50,MATCH("1A",Parametros!$B$9:$B$50,0),MATCH(Parametros!$C$5,Parametros!$C$8:$F$8,0))</f>
        <v>0.2674</v>
      </c>
      <c r="F84" s="17" t="n">
        <v>0.54</v>
      </c>
      <c r="G84" s="16" t="n">
        <f aca="false">F84*Parametros!$C$4</f>
        <v>16.092</v>
      </c>
      <c r="H84" s="14"/>
      <c r="I84" s="19" t="n">
        <f aca="false">E84+G84</f>
        <v>16.3594</v>
      </c>
      <c r="J84" s="20"/>
    </row>
    <row r="85" customFormat="false" ht="15" hidden="false" customHeight="false" outlineLevel="0" collapsed="false">
      <c r="B85" s="14" t="s">
        <v>197</v>
      </c>
      <c r="C85" s="14" t="s">
        <v>198</v>
      </c>
      <c r="D85" s="15" t="s">
        <v>187</v>
      </c>
      <c r="E85" s="16" t="n">
        <f aca="false">0.01*INDEX(Parametros!$C$9:$F$50,MATCH("1A",Parametros!$B$9:$B$50,0),MATCH(Parametros!$C$5,Parametros!$C$8:$F$8,0))</f>
        <v>0.2674</v>
      </c>
      <c r="F85" s="17" t="n">
        <v>0.72</v>
      </c>
      <c r="G85" s="16" t="n">
        <f aca="false">F85*Parametros!$C$4</f>
        <v>21.456</v>
      </c>
      <c r="H85" s="14"/>
      <c r="I85" s="19" t="n">
        <f aca="false">E85+G85</f>
        <v>21.7234</v>
      </c>
      <c r="J85" s="20"/>
    </row>
    <row r="86" customFormat="false" ht="15" hidden="false" customHeight="false" outlineLevel="0" collapsed="false">
      <c r="B86" s="14" t="s">
        <v>199</v>
      </c>
      <c r="C86" s="14" t="s">
        <v>200</v>
      </c>
      <c r="D86" s="15" t="s">
        <v>192</v>
      </c>
      <c r="E86" s="16" t="n">
        <f aca="false">0.1*INDEX(Parametros!$C$9:$F$50,MATCH("1A",Parametros!$B$9:$B$50,0),MATCH(Parametros!$C$5,Parametros!$C$8:$F$8,0))</f>
        <v>2.674</v>
      </c>
      <c r="F86" s="17" t="n">
        <v>3.267</v>
      </c>
      <c r="G86" s="16" t="n">
        <f aca="false">F86*Parametros!$C$4</f>
        <v>97.3566</v>
      </c>
      <c r="H86" s="14"/>
      <c r="I86" s="19" t="n">
        <f aca="false">E86+G86</f>
        <v>100.0306</v>
      </c>
      <c r="J86" s="20"/>
    </row>
    <row r="87" customFormat="false" ht="15" hidden="false" customHeight="false" outlineLevel="0" collapsed="false">
      <c r="B87" s="14" t="s">
        <v>201</v>
      </c>
      <c r="C87" s="14" t="s">
        <v>202</v>
      </c>
      <c r="D87" s="15" t="s">
        <v>187</v>
      </c>
      <c r="E87" s="16" t="n">
        <f aca="false">0.01*INDEX(Parametros!$C$9:$F$50,MATCH("1A",Parametros!$B$9:$B$50,0),MATCH(Parametros!$C$5,Parametros!$C$8:$F$8,0))</f>
        <v>0.2674</v>
      </c>
      <c r="F87" s="17" t="n">
        <v>0.54</v>
      </c>
      <c r="G87" s="16" t="n">
        <f aca="false">F87*Parametros!$C$4</f>
        <v>16.092</v>
      </c>
      <c r="H87" s="14"/>
      <c r="I87" s="19" t="n">
        <f aca="false">E87+G87</f>
        <v>16.3594</v>
      </c>
      <c r="J87" s="20"/>
    </row>
    <row r="88" customFormat="false" ht="15" hidden="false" customHeight="false" outlineLevel="0" collapsed="false">
      <c r="B88" s="14" t="s">
        <v>203</v>
      </c>
      <c r="C88" s="14" t="s">
        <v>204</v>
      </c>
      <c r="D88" s="15" t="s">
        <v>187</v>
      </c>
      <c r="E88" s="16" t="n">
        <f aca="false">0.01*INDEX(Parametros!$C$9:$F$50,MATCH("1A",Parametros!$B$9:$B$50,0),MATCH(Parametros!$C$5,Parametros!$C$8:$F$8,0))</f>
        <v>0.2674</v>
      </c>
      <c r="F88" s="17" t="n">
        <v>0.72</v>
      </c>
      <c r="G88" s="16" t="n">
        <f aca="false">F88*Parametros!$C$4</f>
        <v>21.456</v>
      </c>
      <c r="H88" s="14"/>
      <c r="I88" s="19" t="n">
        <f aca="false">E88+G88</f>
        <v>21.7234</v>
      </c>
      <c r="J88" s="20"/>
    </row>
    <row r="89" customFormat="false" ht="15" hidden="false" customHeight="false" outlineLevel="0" collapsed="false">
      <c r="B89" s="14" t="s">
        <v>205</v>
      </c>
      <c r="C89" s="14" t="s">
        <v>206</v>
      </c>
      <c r="D89" s="15" t="s">
        <v>187</v>
      </c>
      <c r="E89" s="16" t="n">
        <f aca="false">0.01*INDEX(Parametros!$C$9:$F$50,MATCH("1A",Parametros!$B$9:$B$50,0),MATCH(Parametros!$C$5,Parametros!$C$8:$F$8,0))</f>
        <v>0.2674</v>
      </c>
      <c r="F89" s="17" t="n">
        <v>0.72</v>
      </c>
      <c r="G89" s="16" t="n">
        <f aca="false">F89*Parametros!$C$4</f>
        <v>21.456</v>
      </c>
      <c r="H89" s="14"/>
      <c r="I89" s="19" t="n">
        <f aca="false">E89+G89</f>
        <v>21.7234</v>
      </c>
      <c r="J89" s="20"/>
    </row>
    <row r="90" customFormat="false" ht="15" hidden="false" customHeight="false" outlineLevel="0" collapsed="false">
      <c r="B90" s="14" t="s">
        <v>207</v>
      </c>
      <c r="C90" s="14" t="s">
        <v>208</v>
      </c>
      <c r="D90" s="15" t="s">
        <v>187</v>
      </c>
      <c r="E90" s="16" t="n">
        <f aca="false">0.01*INDEX(Parametros!$C$9:$F$50,MATCH("1A",Parametros!$B$9:$B$50,0),MATCH(Parametros!$C$5,Parametros!$C$8:$F$8,0))</f>
        <v>0.2674</v>
      </c>
      <c r="F90" s="17" t="n">
        <v>0.387</v>
      </c>
      <c r="G90" s="16" t="n">
        <f aca="false">F90*Parametros!$C$4</f>
        <v>11.5326</v>
      </c>
      <c r="H90" s="14"/>
      <c r="I90" s="19" t="n">
        <f aca="false">E90+G90</f>
        <v>11.8</v>
      </c>
      <c r="J90" s="20"/>
    </row>
    <row r="91" customFormat="false" ht="15" hidden="false" customHeight="false" outlineLevel="0" collapsed="false">
      <c r="B91" s="14" t="s">
        <v>209</v>
      </c>
      <c r="C91" s="14" t="s">
        <v>210</v>
      </c>
      <c r="D91" s="15" t="s">
        <v>187</v>
      </c>
      <c r="E91" s="16" t="n">
        <f aca="false">0.01*INDEX(Parametros!$C$9:$F$50,MATCH("1A",Parametros!$B$9:$B$50,0),MATCH(Parametros!$C$5,Parametros!$C$8:$F$8,0))</f>
        <v>0.2674</v>
      </c>
      <c r="F91" s="17" t="n">
        <v>0.387</v>
      </c>
      <c r="G91" s="16" t="n">
        <f aca="false">F91*Parametros!$C$4</f>
        <v>11.5326</v>
      </c>
      <c r="H91" s="14"/>
      <c r="I91" s="19" t="n">
        <f aca="false">E91+G91</f>
        <v>11.8</v>
      </c>
      <c r="J91" s="20"/>
    </row>
    <row r="92" customFormat="false" ht="15" hidden="false" customHeight="false" outlineLevel="0" collapsed="false">
      <c r="B92" s="14" t="s">
        <v>211</v>
      </c>
      <c r="C92" s="14" t="s">
        <v>212</v>
      </c>
      <c r="D92" s="15" t="s">
        <v>187</v>
      </c>
      <c r="E92" s="16" t="n">
        <f aca="false">0.01*INDEX(Parametros!$C$9:$F$50,MATCH("1A",Parametros!$B$9:$B$50,0),MATCH(Parametros!$C$5,Parametros!$C$8:$F$8,0))</f>
        <v>0.2674</v>
      </c>
      <c r="F92" s="17" t="n">
        <v>0.387</v>
      </c>
      <c r="G92" s="16" t="n">
        <f aca="false">F92*Parametros!$C$4</f>
        <v>11.5326</v>
      </c>
      <c r="H92" s="14"/>
      <c r="I92" s="19" t="n">
        <f aca="false">E92+G92</f>
        <v>11.8</v>
      </c>
      <c r="J92" s="20"/>
    </row>
    <row r="93" customFormat="false" ht="15" hidden="false" customHeight="false" outlineLevel="0" collapsed="false">
      <c r="B93" s="14" t="s">
        <v>213</v>
      </c>
      <c r="C93" s="14" t="s">
        <v>214</v>
      </c>
      <c r="D93" s="15" t="s">
        <v>187</v>
      </c>
      <c r="E93" s="16" t="n">
        <f aca="false">0.01*INDEX(Parametros!$C$9:$F$50,MATCH("1A",Parametros!$B$9:$B$50,0),MATCH(Parametros!$C$5,Parametros!$C$8:$F$8,0))</f>
        <v>0.2674</v>
      </c>
      <c r="F93" s="17" t="n">
        <v>2.041</v>
      </c>
      <c r="G93" s="16" t="n">
        <f aca="false">F93*Parametros!$C$4</f>
        <v>60.8218</v>
      </c>
      <c r="H93" s="14"/>
      <c r="I93" s="19" t="n">
        <f aca="false">E93+G93</f>
        <v>61.0892</v>
      </c>
      <c r="J93" s="20"/>
    </row>
    <row r="94" customFormat="false" ht="15" hidden="false" customHeight="false" outlineLevel="0" collapsed="false">
      <c r="B94" s="14" t="s">
        <v>215</v>
      </c>
      <c r="C94" s="14" t="s">
        <v>216</v>
      </c>
      <c r="D94" s="15" t="s">
        <v>187</v>
      </c>
      <c r="E94" s="16" t="n">
        <f aca="false">0.01*INDEX(Parametros!$C$9:$F$50,MATCH("1A",Parametros!$B$9:$B$50,0),MATCH(Parametros!$C$5,Parametros!$C$8:$F$8,0))</f>
        <v>0.2674</v>
      </c>
      <c r="F94" s="17" t="n">
        <v>2.553</v>
      </c>
      <c r="G94" s="16" t="n">
        <f aca="false">F94*Parametros!$C$4</f>
        <v>76.0794</v>
      </c>
      <c r="H94" s="14"/>
      <c r="I94" s="19" t="n">
        <f aca="false">E94+G94</f>
        <v>76.3468</v>
      </c>
      <c r="J94" s="20"/>
    </row>
    <row r="95" customFormat="false" ht="15" hidden="false" customHeight="false" outlineLevel="0" collapsed="false">
      <c r="B95" s="14" t="s">
        <v>217</v>
      </c>
      <c r="C95" s="14" t="s">
        <v>218</v>
      </c>
      <c r="D95" s="15" t="s">
        <v>219</v>
      </c>
      <c r="E95" s="16" t="n">
        <f aca="false">0.04*INDEX(Parametros!$C$9:$F$50,MATCH("1A",Parametros!$B$9:$B$50,0),MATCH(Parametros!$C$5,Parametros!$C$8:$F$8,0))</f>
        <v>1.0696</v>
      </c>
      <c r="F95" s="17" t="n">
        <v>2.43</v>
      </c>
      <c r="G95" s="16" t="n">
        <f aca="false">F95*Parametros!$C$4</f>
        <v>72.414</v>
      </c>
      <c r="H95" s="14"/>
      <c r="I95" s="19" t="n">
        <f aca="false">E95+G95</f>
        <v>73.4836</v>
      </c>
      <c r="J95" s="20"/>
    </row>
    <row r="96" customFormat="false" ht="15" hidden="false" customHeight="false" outlineLevel="0" collapsed="false">
      <c r="B96" s="14" t="s">
        <v>220</v>
      </c>
      <c r="C96" s="14" t="s">
        <v>221</v>
      </c>
      <c r="D96" s="15" t="s">
        <v>219</v>
      </c>
      <c r="E96" s="16" t="n">
        <f aca="false">0.04*INDEX(Parametros!$C$9:$F$50,MATCH("1A",Parametros!$B$9:$B$50,0),MATCH(Parametros!$C$5,Parametros!$C$8:$F$8,0))</f>
        <v>1.0696</v>
      </c>
      <c r="F96" s="17" t="n">
        <v>0.81</v>
      </c>
      <c r="G96" s="16" t="n">
        <f aca="false">F96*Parametros!$C$4</f>
        <v>24.138</v>
      </c>
      <c r="H96" s="14"/>
      <c r="I96" s="19" t="n">
        <f aca="false">E96+G96</f>
        <v>25.2076</v>
      </c>
      <c r="J96" s="20"/>
    </row>
    <row r="97" customFormat="false" ht="15" hidden="false" customHeight="false" outlineLevel="0" collapsed="false">
      <c r="B97" s="14" t="s">
        <v>222</v>
      </c>
      <c r="C97" s="14" t="s">
        <v>223</v>
      </c>
      <c r="D97" s="15" t="s">
        <v>219</v>
      </c>
      <c r="E97" s="16" t="n">
        <f aca="false">0.04*INDEX(Parametros!$C$9:$F$50,MATCH("1A",Parametros!$B$9:$B$50,0),MATCH(Parametros!$C$5,Parametros!$C$8:$F$8,0))</f>
        <v>1.0696</v>
      </c>
      <c r="F97" s="17" t="n">
        <v>1.8</v>
      </c>
      <c r="G97" s="16" t="n">
        <f aca="false">F97*Parametros!$C$4</f>
        <v>53.64</v>
      </c>
      <c r="H97" s="14"/>
      <c r="I97" s="19" t="n">
        <f aca="false">E97+G97</f>
        <v>54.7096</v>
      </c>
      <c r="J97" s="20"/>
    </row>
    <row r="98" customFormat="false" ht="15" hidden="false" customHeight="false" outlineLevel="0" collapsed="false">
      <c r="B98" s="14" t="s">
        <v>224</v>
      </c>
      <c r="C98" s="14" t="s">
        <v>225</v>
      </c>
      <c r="D98" s="15" t="s">
        <v>192</v>
      </c>
      <c r="E98" s="16" t="n">
        <f aca="false">0.1*INDEX(Parametros!$C$9:$F$50,MATCH("1A",Parametros!$B$9:$B$50,0),MATCH(Parametros!$C$5,Parametros!$C$8:$F$8,0))</f>
        <v>2.674</v>
      </c>
      <c r="F98" s="17" t="n">
        <v>2.484</v>
      </c>
      <c r="G98" s="16" t="n">
        <f aca="false">F98*Parametros!$C$4</f>
        <v>74.0232</v>
      </c>
      <c r="H98" s="14"/>
      <c r="I98" s="19" t="n">
        <f aca="false">E98+G98</f>
        <v>76.6972</v>
      </c>
      <c r="J98" s="20"/>
    </row>
    <row r="99" customFormat="false" ht="15" hidden="false" customHeight="false" outlineLevel="0" collapsed="false">
      <c r="B99" s="14" t="s">
        <v>226</v>
      </c>
      <c r="C99" s="14" t="s">
        <v>227</v>
      </c>
      <c r="D99" s="15" t="s">
        <v>219</v>
      </c>
      <c r="E99" s="16" t="n">
        <f aca="false">0.04*INDEX(Parametros!$C$9:$F$50,MATCH("1A",Parametros!$B$9:$B$50,0),MATCH(Parametros!$C$5,Parametros!$C$8:$F$8,0))</f>
        <v>1.0696</v>
      </c>
      <c r="F99" s="17" t="n">
        <v>0.927</v>
      </c>
      <c r="G99" s="16" t="n">
        <f aca="false">F99*Parametros!$C$4</f>
        <v>27.6246</v>
      </c>
      <c r="H99" s="14"/>
      <c r="I99" s="19" t="n">
        <f aca="false">E99+G99</f>
        <v>28.6942</v>
      </c>
      <c r="J99" s="20"/>
    </row>
    <row r="100" customFormat="false" ht="15" hidden="false" customHeight="false" outlineLevel="0" collapsed="false">
      <c r="B100" s="14" t="s">
        <v>228</v>
      </c>
      <c r="C100" s="14" t="s">
        <v>229</v>
      </c>
      <c r="D100" s="15" t="s">
        <v>187</v>
      </c>
      <c r="E100" s="16" t="n">
        <f aca="false">0.01*INDEX(Parametros!$C$9:$F$50,MATCH("1A",Parametros!$B$9:$B$50,0),MATCH(Parametros!$C$5,Parametros!$C$8:$F$8,0))</f>
        <v>0.2674</v>
      </c>
      <c r="F100" s="17" t="n">
        <v>1.67</v>
      </c>
      <c r="G100" s="16" t="n">
        <f aca="false">F100*Parametros!$C$4</f>
        <v>49.766</v>
      </c>
      <c r="H100" s="14"/>
      <c r="I100" s="19" t="n">
        <f aca="false">E100+G100</f>
        <v>50.0334</v>
      </c>
      <c r="J100" s="20"/>
    </row>
    <row r="101" customFormat="false" ht="15" hidden="false" customHeight="false" outlineLevel="0" collapsed="false">
      <c r="B101" s="14" t="s">
        <v>230</v>
      </c>
      <c r="C101" s="14" t="s">
        <v>231</v>
      </c>
      <c r="D101" s="15" t="s">
        <v>187</v>
      </c>
      <c r="E101" s="16" t="n">
        <f aca="false">0.01*INDEX(Parametros!$C$9:$F$50,MATCH("1A",Parametros!$B$9:$B$50,0),MATCH(Parametros!$C$5,Parametros!$C$8:$F$8,0))</f>
        <v>0.2674</v>
      </c>
      <c r="F101" s="17" t="n">
        <v>2.041</v>
      </c>
      <c r="G101" s="16" t="n">
        <f aca="false">F101*Parametros!$C$4</f>
        <v>60.8218</v>
      </c>
      <c r="H101" s="14"/>
      <c r="I101" s="19" t="n">
        <f aca="false">E101+G101</f>
        <v>61.0892</v>
      </c>
      <c r="J101" s="20"/>
    </row>
    <row r="102" customFormat="false" ht="15" hidden="false" customHeight="false" outlineLevel="0" collapsed="false">
      <c r="B102" s="14" t="s">
        <v>232</v>
      </c>
      <c r="C102" s="14" t="s">
        <v>233</v>
      </c>
      <c r="D102" s="15" t="s">
        <v>219</v>
      </c>
      <c r="E102" s="16" t="n">
        <f aca="false">0.04*INDEX(Parametros!$C$9:$F$50,MATCH("1A",Parametros!$B$9:$B$50,0),MATCH(Parametros!$C$5,Parametros!$C$8:$F$8,0))</f>
        <v>1.0696</v>
      </c>
      <c r="F102" s="17" t="n">
        <v>0.72</v>
      </c>
      <c r="G102" s="16" t="n">
        <f aca="false">F102*Parametros!$C$4</f>
        <v>21.456</v>
      </c>
      <c r="H102" s="14"/>
      <c r="I102" s="19" t="n">
        <f aca="false">E102+G102</f>
        <v>22.5256</v>
      </c>
      <c r="J102" s="20"/>
    </row>
    <row r="103" customFormat="false" ht="15" hidden="false" customHeight="false" outlineLevel="0" collapsed="false">
      <c r="B103" s="14" t="s">
        <v>234</v>
      </c>
      <c r="C103" s="14" t="s">
        <v>235</v>
      </c>
      <c r="D103" s="15" t="s">
        <v>192</v>
      </c>
      <c r="E103" s="16" t="n">
        <f aca="false">0.1*INDEX(Parametros!$C$9:$F$50,MATCH("1A",Parametros!$B$9:$B$50,0),MATCH(Parametros!$C$5,Parametros!$C$8:$F$8,0))</f>
        <v>2.674</v>
      </c>
      <c r="F103" s="17" t="n">
        <v>2.844</v>
      </c>
      <c r="G103" s="16" t="n">
        <f aca="false">F103*Parametros!$C$4</f>
        <v>84.7512</v>
      </c>
      <c r="H103" s="14"/>
      <c r="I103" s="19" t="n">
        <f aca="false">E103+G103</f>
        <v>87.4252</v>
      </c>
      <c r="J103" s="20"/>
    </row>
    <row r="104" customFormat="false" ht="15" hidden="false" customHeight="false" outlineLevel="0" collapsed="false">
      <c r="B104" s="14" t="s">
        <v>236</v>
      </c>
      <c r="C104" s="14" t="s">
        <v>237</v>
      </c>
      <c r="D104" s="15" t="s">
        <v>187</v>
      </c>
      <c r="E104" s="16" t="n">
        <f aca="false">0.01*INDEX(Parametros!$C$9:$F$50,MATCH("1A",Parametros!$B$9:$B$50,0),MATCH(Parametros!$C$5,Parametros!$C$8:$F$8,0))</f>
        <v>0.2674</v>
      </c>
      <c r="F104" s="17" t="n">
        <v>2.097</v>
      </c>
      <c r="G104" s="16" t="n">
        <f aca="false">F104*Parametros!$C$4</f>
        <v>62.4906</v>
      </c>
      <c r="H104" s="14"/>
      <c r="I104" s="19" t="n">
        <f aca="false">E104+G104</f>
        <v>62.758</v>
      </c>
      <c r="J104" s="20"/>
    </row>
    <row r="105" customFormat="false" ht="15" hidden="false" customHeight="false" outlineLevel="0" collapsed="false">
      <c r="B105" s="14" t="s">
        <v>238</v>
      </c>
      <c r="C105" s="14" t="s">
        <v>239</v>
      </c>
      <c r="D105" s="15" t="s">
        <v>187</v>
      </c>
      <c r="E105" s="16" t="n">
        <f aca="false">0.01*INDEX(Parametros!$C$9:$F$50,MATCH("1A",Parametros!$B$9:$B$50,0),MATCH(Parametros!$C$5,Parametros!$C$8:$F$8,0))</f>
        <v>0.2674</v>
      </c>
      <c r="F105" s="17" t="n">
        <v>1.796</v>
      </c>
      <c r="G105" s="16" t="n">
        <f aca="false">F105*Parametros!$C$4</f>
        <v>53.5208</v>
      </c>
      <c r="H105" s="14"/>
      <c r="I105" s="19" t="n">
        <f aca="false">E105+G105</f>
        <v>53.7882</v>
      </c>
      <c r="J105" s="20"/>
    </row>
    <row r="106" customFormat="false" ht="15" hidden="false" customHeight="false" outlineLevel="0" collapsed="false">
      <c r="B106" s="14" t="s">
        <v>240</v>
      </c>
      <c r="C106" s="14" t="s">
        <v>241</v>
      </c>
      <c r="D106" s="15" t="s">
        <v>187</v>
      </c>
      <c r="E106" s="16" t="n">
        <f aca="false">0.01*INDEX(Parametros!$C$9:$F$50,MATCH("1A",Parametros!$B$9:$B$50,0),MATCH(Parametros!$C$5,Parametros!$C$8:$F$8,0))</f>
        <v>0.2674</v>
      </c>
      <c r="F106" s="17" t="n">
        <v>1.764</v>
      </c>
      <c r="G106" s="16" t="n">
        <f aca="false">F106*Parametros!$C$4</f>
        <v>52.5672</v>
      </c>
      <c r="H106" s="14"/>
      <c r="I106" s="19" t="n">
        <f aca="false">E106+G106</f>
        <v>52.8346</v>
      </c>
      <c r="J106" s="20"/>
    </row>
    <row r="107" customFormat="false" ht="15" hidden="false" customHeight="false" outlineLevel="0" collapsed="false">
      <c r="B107" s="14" t="s">
        <v>242</v>
      </c>
      <c r="C107" s="14" t="s">
        <v>243</v>
      </c>
      <c r="D107" s="15" t="s">
        <v>187</v>
      </c>
      <c r="E107" s="16" t="n">
        <f aca="false">0.01*INDEX(Parametros!$C$9:$F$50,MATCH("1A",Parametros!$B$9:$B$50,0),MATCH(Parametros!$C$5,Parametros!$C$8:$F$8,0))</f>
        <v>0.2674</v>
      </c>
      <c r="F107" s="17" t="n">
        <v>0.567</v>
      </c>
      <c r="G107" s="16" t="n">
        <f aca="false">F107*Parametros!$C$4</f>
        <v>16.8966</v>
      </c>
      <c r="H107" s="14"/>
      <c r="I107" s="19" t="n">
        <f aca="false">E107+G107</f>
        <v>17.164</v>
      </c>
      <c r="J107" s="20"/>
    </row>
    <row r="109" customFormat="false" ht="15" hidden="false" customHeight="false" outlineLevel="0" collapsed="false">
      <c r="B109" s="11" t="s">
        <v>244</v>
      </c>
      <c r="C109" s="12"/>
      <c r="D109" s="12"/>
      <c r="E109" s="12"/>
      <c r="F109" s="12"/>
      <c r="G109" s="12"/>
      <c r="H109" s="12"/>
      <c r="I109" s="12"/>
      <c r="J109" s="12"/>
    </row>
    <row r="110" customFormat="false" ht="28.35" hidden="false" customHeight="false" outlineLevel="0" collapsed="false">
      <c r="C110" s="22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55"/>
  </cols>
  <sheetData>
    <row r="2" customFormat="false" ht="15" hidden="false" customHeight="false" outlineLevel="0" collapsed="false">
      <c r="B2" s="23" t="s">
        <v>246</v>
      </c>
    </row>
    <row r="3" customFormat="false" ht="15" hidden="false" customHeight="false" outlineLevel="0" collapsed="false">
      <c r="B3" s="24"/>
    </row>
    <row r="4" customFormat="false" ht="15" hidden="false" customHeight="false" outlineLevel="0" collapsed="false">
      <c r="B4" s="25" t="s">
        <v>247</v>
      </c>
    </row>
    <row r="5" customFormat="false" ht="15" hidden="false" customHeight="false" outlineLevel="0" collapsed="false">
      <c r="B5" s="26" t="s">
        <v>248</v>
      </c>
    </row>
    <row r="6" customFormat="false" ht="15" hidden="false" customHeight="false" outlineLevel="0" collapsed="false">
      <c r="B6" s="26" t="s">
        <v>249</v>
      </c>
    </row>
    <row r="7" customFormat="false" ht="15" hidden="false" customHeight="false" outlineLevel="0" collapsed="false">
      <c r="B7" s="26" t="s">
        <v>250</v>
      </c>
    </row>
    <row r="8" customFormat="false" ht="15" hidden="false" customHeight="false" outlineLevel="0" collapsed="false">
      <c r="B8" s="26" t="s">
        <v>251</v>
      </c>
    </row>
    <row r="9" customFormat="false" ht="15" hidden="false" customHeight="false" outlineLevel="0" collapsed="false">
      <c r="B9" s="24"/>
    </row>
    <row r="10" customFormat="false" ht="15" hidden="false" customHeight="false" outlineLevel="0" collapsed="false">
      <c r="B10" s="25" t="s">
        <v>252</v>
      </c>
    </row>
    <row r="11" customFormat="false" ht="15" hidden="false" customHeight="false" outlineLevel="0" collapsed="false">
      <c r="B11" s="26" t="s">
        <v>253</v>
      </c>
    </row>
    <row r="12" customFormat="false" ht="15" hidden="false" customHeight="false" outlineLevel="0" collapsed="false">
      <c r="B12" s="26" t="s">
        <v>254</v>
      </c>
    </row>
    <row r="13" customFormat="false" ht="15" hidden="false" customHeight="false" outlineLevel="0" collapsed="false">
      <c r="B13" s="24"/>
    </row>
    <row r="14" customFormat="false" ht="15" hidden="false" customHeight="false" outlineLevel="0" collapsed="false">
      <c r="B14" s="25" t="s">
        <v>255</v>
      </c>
    </row>
    <row r="15" customFormat="false" ht="15" hidden="false" customHeight="false" outlineLevel="0" collapsed="false">
      <c r="B15" s="26" t="s">
        <v>256</v>
      </c>
    </row>
    <row r="16" customFormat="false" ht="15" hidden="false" customHeight="false" outlineLevel="0" collapsed="false">
      <c r="B16" s="26" t="s">
        <v>257</v>
      </c>
    </row>
    <row r="17" customFormat="false" ht="15" hidden="false" customHeight="false" outlineLevel="0" collapsed="false">
      <c r="B17" s="26" t="s">
        <v>258</v>
      </c>
    </row>
    <row r="18" customFormat="false" ht="15" hidden="false" customHeight="false" outlineLevel="0" collapsed="false">
      <c r="B18" s="26" t="s">
        <v>259</v>
      </c>
    </row>
    <row r="19" customFormat="false" ht="15" hidden="false" customHeight="false" outlineLevel="0" collapsed="false">
      <c r="B19" s="26" t="s">
        <v>260</v>
      </c>
    </row>
    <row r="20" customFormat="false" ht="15" hidden="false" customHeight="false" outlineLevel="0" collapsed="false">
      <c r="B20" s="26" t="s">
        <v>261</v>
      </c>
    </row>
    <row r="21" customFormat="false" ht="15" hidden="false" customHeight="false" outlineLevel="0" collapsed="false">
      <c r="B21" s="26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2026-07-31T17:37:19Z</dcterms:created>
  <dc:creator>openpyxl</dc:creator>
  <dc:description/>
  <dc:language>en-US</dc:language>
  <cp:lastModifiedBy/>
  <dcterms:modified xsi:type="dcterms:W3CDTF">2026-07-31T17:37:19Z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